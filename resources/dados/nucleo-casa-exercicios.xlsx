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worksheets/sheet4.xml" ContentType="application/vnd.openxmlformats-officedocument.spreadsheetml.worksheet+xml"/>
  <Override PartName="/xl/tables/table2.xml" ContentType="application/vnd.openxmlformats-officedocument.spreadsheetml.table+xml"/>
  <Override PartName="/xl/worksheets/sheet5.xml" ContentType="application/vnd.openxmlformats-officedocument.spreadsheetml.worksheet+xml"/>
  <Override PartName="/xl/tables/table3.xml" ContentType="application/vnd.openxmlformats-officedocument.spreadsheetml.table+xml"/>
  <Override PartName="/xl/worksheets/sheet6.xml" ContentType="application/vnd.openxmlformats-officedocument.spreadsheetml.worksheet+xml"/>
  <Override PartName="/xl/tables/table4.xml" ContentType="application/vnd.openxmlformats-officedocument.spreadsheetml.table+xml"/>
  <Override PartName="/xl/worksheets/sheet7.xml" ContentType="application/vnd.openxmlformats-officedocument.spreadsheetml.worksheet+xml"/>
  <Override PartName="/xl/tables/table5.xml" ContentType="application/vnd.openxmlformats-officedocument.spreadsheetml.table+xml"/>
  <Override PartName="/xl/worksheets/sheet8.xml" ContentType="application/vnd.openxmlformats-officedocument.spreadsheetml.worksheet+xml"/>
  <Override PartName="/xl/tables/table6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ables/table7.xml" ContentType="application/vnd.openxmlformats-officedocument.spreadsheetml.table+xml"/>
  <Override PartName="/xl/worksheets/sheet11.xml" ContentType="application/vnd.openxmlformats-officedocument.spreadsheetml.worksheet+xml"/>
  <Override PartName="/xl/tables/table8.xml" ContentType="application/vnd.openxmlformats-officedocument.spreadsheetml.table+xml"/>
  <Override PartName="/xl/worksheets/sheet12.xml" ContentType="application/vnd.openxmlformats-officedocument.spreadsheetml.worksheet+xml"/>
  <Override PartName="/xl/tables/table9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62e4dda6151460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eia-me" sheetId="1" r:id="Rff2bc2c45d5945c5"/>
    <x:sheet xmlns:r="http://schemas.openxmlformats.org/officeDocument/2006/relationships" name="Resumo" sheetId="2" r:id="Re130e625d708462c"/>
    <x:sheet xmlns:r="http://schemas.openxmlformats.org/officeDocument/2006/relationships" name="Vendas" sheetId="3" r:id="R38bba563465948c8"/>
    <x:sheet xmlns:r="http://schemas.openxmlformats.org/officeDocument/2006/relationships" name="Pessoas" sheetId="4" r:id="R3537cad41a494f2f"/>
    <x:sheet xmlns:r="http://schemas.openxmlformats.org/officeDocument/2006/relationships" name="Estoque" sheetId="5" r:id="Raeac74b497924424"/>
    <x:sheet xmlns:r="http://schemas.openxmlformats.org/officeDocument/2006/relationships" name="Mensal" sheetId="6" r:id="Rfac4a59346de4526"/>
    <x:sheet xmlns:r="http://schemas.openxmlformats.org/officeDocument/2006/relationships" name="Canais" sheetId="7" r:id="Rd2cbcf80dfe64e2a"/>
    <x:sheet xmlns:r="http://schemas.openxmlformats.org/officeDocument/2006/relationships" name="Regioes" sheetId="8" r:id="R342513b2d997411e"/>
    <x:sheet xmlns:r="http://schemas.openxmlformats.org/officeDocument/2006/relationships" name="Cenarios" sheetId="9" r:id="R849e9a929c9140a5"/>
    <x:sheet xmlns:r="http://schemas.openxmlformats.org/officeDocument/2006/relationships" name="Exercicios" sheetId="10" r:id="R8cc15935b5404585"/>
    <x:sheet xmlns:r="http://schemas.openxmlformats.org/officeDocument/2006/relationships" name="Dicionario" sheetId="11" r:id="R9f0490340aa441a8"/>
    <x:sheet xmlns:r="http://schemas.openxmlformats.org/officeDocument/2006/relationships" name="Fontes" sheetId="12" r:id="Rfac40ac16de24fb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mmm yyyy"/>
    <x:numFmt numFmtId="201" formatCode="#,##0"/>
    <x:numFmt numFmtId="202" formatCode="&quot;R$&quot; #,##0.00;[Red](&quot;R$&quot; #,##0.00)"/>
    <x:numFmt numFmtId="203" formatCode="0.0%"/>
    <x:numFmt numFmtId="204" formatCode="0.0"/>
    <x:numFmt numFmtId="205" formatCode="0.00&quot;x&quot;"/>
  </x:numFmts>
  <x:fonts count="8">
    <x:font>
      <x:sz val="11"/>
      <x:name val="Carlito"/>
    </x:font>
    <x:font>
      <x:sz val="11"/>
      <x:color rgb="FF243447"/>
      <x:name val="Helvetica Neue"/>
    </x:font>
    <x:font>
      <x:b/>
      <x:sz val="18"/>
      <x:color rgb="FF243447"/>
      <x:name val="Helvetica Neue"/>
    </x:font>
    <x:font>
      <x:i/>
      <x:sz val="10"/>
      <x:color rgb="FF637083"/>
      <x:name val="Helvetica Neue"/>
    </x:font>
    <x:font>
      <x:b/>
      <x:sz val="11"/>
      <x:color rgb="FFFFFFFF"/>
      <x:name val="Helvetica Neue"/>
    </x:font>
    <x:font>
      <x:b/>
      <x:sz val="11"/>
      <x:color rgb="FF243447"/>
      <x:name val="Carlito"/>
    </x:font>
    <x:font>
      <x:sz val="10"/>
      <x:color rgb="FF637083"/>
      <x:name val="Helvetica Neue"/>
    </x:font>
    <x:font>
      <x:b/>
      <x:sz val="11"/>
      <x:color rgb="FF243447"/>
      <x:name val="Helvetica Neue"/>
    </x:font>
  </x:fonts>
  <x:fills count="6">
    <x:fill>
      <x:patternFill patternType="none"/>
    </x:fill>
    <x:fill>
      <x:patternFill patternType="gray125"/>
    </x:fill>
    <x:fill>
      <x:patternFill patternType="solid">
        <x:fgColor rgb="FF334F70"/>
      </x:patternFill>
    </x:fill>
    <x:fill>
      <x:patternFill patternType="solid">
        <x:fgColor rgb="FFEEF3F8"/>
      </x:patternFill>
    </x:fill>
    <x:fill>
      <x:patternFill patternType="solid">
        <x:fgColor rgb="FFF3F6FA"/>
      </x:patternFill>
    </x:fill>
    <x:fill>
      <x:patternFill patternType="solid">
        <x:fgColor rgb="FFFFF4D4"/>
      </x:patternFill>
    </x:fill>
  </x:fills>
  <x:borders count="5">
    <x:border/>
    <x:border>
      <x:bottom style="thin">
        <x:color rgb="FFDCE3EB"/>
      </x:bottom>
    </x:border>
    <x:border>
      <x:right style="thin">
        <x:color rgb="FFFFFFFF"/>
      </x:right>
    </x:border>
    <x:border>
      <x:left style="thin">
        <x:color rgb="FFFFFFFF"/>
      </x:left>
      <x:right style="thin">
        <x:color rgb="FFFFFFFF"/>
      </x:right>
    </x:border>
    <x:border>
      <x:left style="thin">
        <x:color rgb="FFFFFFFF"/>
      </x:left>
    </x:border>
  </x:borders>
  <x:cellStyleXfs count="1">
    <x:xf numFmtId="0" fontId="0" fillId="0" borderId="0"/>
  </x:cellStyleXfs>
  <x:cellXfs count="43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/>
    <x:xf numFmtId="0" fontId="2" fillId="0" borderId="0" xfId="0" applyNumberFormat="1" applyFont="1" applyFill="1" applyBorder="1"/>
    <x:xf numFmtId="0" fontId="3" fillId="0" borderId="0" xfId="0" applyNumberFormat="1" applyFont="1" applyFill="1" applyBorder="1"/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wrapText="1"/>
    </x:xf>
    <x:xf numFmtId="0" fontId="4" fillId="2" borderId="0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4" fillId="2" borderId="2" xfId="0" applyNumberFormat="1" applyFont="1" applyFill="1" applyBorder="1" applyAlignment="1">
      <x:alignment horizontal="center" vertical="center" wrapText="1"/>
    </x:xf>
    <x:xf numFmtId="0" fontId="4" fillId="2" borderId="3" xfId="0" applyNumberFormat="1" applyFont="1" applyFill="1" applyBorder="1" applyAlignment="1">
      <x:alignment horizontal="center" vertical="center" wrapText="1"/>
    </x:xf>
    <x:xf numFmtId="0" fontId="4" fillId="2" borderId="4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2" fontId="1" fillId="3" borderId="0" xfId="0" applyNumberFormat="1" applyFont="1" applyFill="1" applyBorder="1" applyAlignment="1">
      <x:alignment vertical="center"/>
    </x:xf>
    <x:xf numFmtId="203" fontId="1" fillId="3" borderId="0" xfId="0" applyNumberFormat="1" applyFont="1" applyFill="1" applyBorder="1" applyAlignment="1">
      <x:alignment vertical="center"/>
    </x:xf>
    <x:xf numFmtId="204" fontId="1" fillId="3" borderId="0" xfId="0" applyNumberFormat="1" applyFont="1" applyFill="1" applyBorder="1" applyAlignment="1">
      <x:alignment vertical="center"/>
    </x:xf>
    <x:xf numFmtId="205" fontId="1" fillId="3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2" fontId="0" fillId="0" borderId="0" xfId="0" applyNumberFormat="1" applyFont="1" applyFill="1" applyBorder="1"/>
    <x:xf numFmtId="201" fontId="0" fillId="0" borderId="0" xfId="0" applyNumberFormat="1" applyFont="1" applyFill="1" applyBorder="1"/>
    <x:xf numFmtId="0" fontId="0" fillId="4" borderId="0" xfId="0" applyNumberFormat="1" applyFont="1" applyFill="1" applyBorder="1"/>
    <x:xf numFmtId="0" fontId="5" fillId="4" borderId="0" xfId="0" applyNumberFormat="1" applyFont="1" applyFill="1" applyBorder="1"/>
    <x:xf numFmtId="0" fontId="6" fillId="0" borderId="0" xfId="0" applyNumberFormat="1" applyFont="1" applyFill="1" applyBorder="1"/>
    <x:xf numFmtId="202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/>
    </x:xf>
    <x:xf numFmtId="202" fontId="1" fillId="5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/>
    <x:xf numFmtId="203" fontId="0" fillId="0" borderId="0" xfId="0" applyNumberFormat="1" applyFont="1" applyFill="1" applyBorder="1"/>
    <x:xf numFmtId="203" fontId="0" fillId="5" borderId="0" xfId="0" applyNumberFormat="1" applyFont="1" applyFill="1" applyBorder="1"/>
    <x:xf numFmtId="203" fontId="1" fillId="0" borderId="0" xfId="0" applyNumberFormat="1" applyFont="1" applyFill="1" applyBorder="1"/>
    <x:xf numFmtId="203" fontId="1" fillId="5" borderId="0" xfId="0" applyNumberFormat="1" applyFont="1" applyFill="1" applyBorder="1"/>
    <x:xf numFmtId="200" fontId="1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">
    <x:dxf>
      <x:font>
        <x:color rgb="FF9F2929"/>
      </x:font>
      <x:fill>
        <x:patternFill patternType="solid">
          <x:bgColor rgb="FFFBE4E1"/>
        </x:patternFill>
      </x:fill>
    </x:dxf>
    <x:dxf>
      <x:font>
        <x:color rgb="FF9F2929"/>
      </x:font>
      <x:fill>
        <x:patternFill patternType="solid">
          <x:bgColor rgb="FFFBE4E1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76c0dbcfc8f492b" /><Relationship Type="http://schemas.openxmlformats.org/officeDocument/2006/relationships/theme" Target="/xl/theme/theme1.xml" Id="R9e108f3d7f124b5b" /><Relationship Type="http://schemas.openxmlformats.org/officeDocument/2006/relationships/sharedStrings" Target="/xl/sharedStrings.xml" Id="R7f5247d03ecf40aa" /><Relationship Type="http://schemas.openxmlformats.org/officeDocument/2006/relationships/worksheet" Target="/xl/worksheets/sheet1.xml" Id="Rff2bc2c45d5945c5" /><Relationship Type="http://schemas.openxmlformats.org/officeDocument/2006/relationships/worksheet" Target="/xl/worksheets/sheet2.xml" Id="Re130e625d708462c" /><Relationship Type="http://schemas.openxmlformats.org/officeDocument/2006/relationships/worksheet" Target="/xl/worksheets/sheet3.xml" Id="R38bba563465948c8" /><Relationship Type="http://schemas.openxmlformats.org/officeDocument/2006/relationships/worksheet" Target="/xl/worksheets/sheet4.xml" Id="R3537cad41a494f2f" /><Relationship Type="http://schemas.openxmlformats.org/officeDocument/2006/relationships/worksheet" Target="/xl/worksheets/sheet5.xml" Id="Raeac74b497924424" /><Relationship Type="http://schemas.openxmlformats.org/officeDocument/2006/relationships/worksheet" Target="/xl/worksheets/sheet6.xml" Id="Rfac4a59346de4526" /><Relationship Type="http://schemas.openxmlformats.org/officeDocument/2006/relationships/worksheet" Target="/xl/worksheets/sheet7.xml" Id="Rd2cbcf80dfe64e2a" /><Relationship Type="http://schemas.openxmlformats.org/officeDocument/2006/relationships/worksheet" Target="/xl/worksheets/sheet8.xml" Id="R342513b2d997411e" /><Relationship Type="http://schemas.openxmlformats.org/officeDocument/2006/relationships/worksheet" Target="/xl/worksheets/sheet9.xml" Id="R849e9a929c9140a5" /><Relationship Type="http://schemas.openxmlformats.org/officeDocument/2006/relationships/worksheet" Target="/xl/worksheets/sheet10.xml" Id="R8cc15935b5404585" /><Relationship Type="http://schemas.openxmlformats.org/officeDocument/2006/relationships/worksheet" Target="/xl/worksheets/sheet11.xml" Id="R9f0490340aa441a8" /><Relationship Type="http://schemas.openxmlformats.org/officeDocument/2006/relationships/worksheet" Target="/xl/worksheets/sheet12.xml" Id="Rfac40ac16de24fb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d31a94d06cba43d4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 sz="1050">
                <a:latin typeface="Helvetica Neue"/>
                <a:ea typeface="Helvetica Neue"/>
                <a:cs typeface="Helvetica Neue"/>
              </a:rPr>
              <a:t>Receita e contribuição por ano (R$ milhões)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1050">
              <a:latin typeface="Helvetica Neue"/>
              <a:ea typeface="Helvetica Neue"/>
              <a:cs typeface="Helvetica Neue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Receita bruta</c:v>
          </c:tx>
          <c:spPr>
            <a:solidFill xmlns:a="http://schemas.openxmlformats.org/drawingml/2006/main">
              <a:srgbClr val="334F70"/>
            </a:solidFill>
          </c:spPr>
          <c:cat>
            <c:strRef>
              <c:f>'Resumo'!$J$6:$J$8</c:f>
              <c:strCache>
                <c:ptCount val="0"/>
              </c:strCache>
            </c:strRef>
          </c:cat>
          <c:val>
            <c:numRef>
              <c:f>'Resumo'!$K$6:$K$8</c:f>
              <c:numCache>
                <c:formatCode>"R$" #,##0.00;[Red]("R$" #,##0.00)</c:formatCode>
                <c:ptCount val="0"/>
              </c:numCache>
            </c:numRef>
          </c:val>
        </c:ser>
        <c:ser>
          <c:idx val="1"/>
          <c:order val="1"/>
          <c:tx>
            <c:v>Contribuição</c:v>
          </c:tx>
          <c:spPr>
            <a:solidFill xmlns:a="http://schemas.openxmlformats.org/drawingml/2006/main">
              <a:srgbClr val="82A2B4"/>
            </a:solidFill>
          </c:spPr>
          <c:cat>
            <c:strRef>
              <c:f>'Resumo'!$J$6:$J$8</c:f>
              <c:strCache>
                <c:ptCount val="0"/>
              </c:strCache>
            </c:strRef>
          </c:cat>
          <c:val>
            <c:numRef>
              <c:f>'Resumo'!$L$6:$L$8</c:f>
              <c:numCache>
                <c:formatCode>"R$" #,##0.00;[Red]("R$" #,##0.00)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Helvetica Neue"/>
                <a:ea typeface="Helvetica Neue"/>
                <a:cs typeface="Helvetica Neue"/>
              </a:defRPr>
            </a:pPr>
          </a:p>
        </c:txPr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.0,," sourceLinked="0"/>
        <c:majorTickMark val="none"/>
        <c:minorTickMark val="none"/>
        <c:txPr>
          <a:bodyPr xmlns:a="http://schemas.openxmlformats.org/drawingml/2006/main" anchorCtr="1"/>
          <a:lstStyle xmlns:a="http://schemas.openxmlformats.org/drawingml/2006/main"/>
          <a:p xmlns:a="http://schemas.openxmlformats.org/drawingml/2006/main">
            <a:pPr>
              <a:defRPr sz="825">
                <a:latin typeface="Helvetica Neue"/>
                <a:ea typeface="Helvetica Neue"/>
                <a:cs typeface="Helvetica Neue"/>
              </a:defRPr>
            </a:pPr>
          </a:p>
        </c:txPr>
        <c:crossAx val="48650112"/>
        <c:crossBetween val="between"/>
      </c:valAx>
    </c:plotArea>
    <c:legend>
      <c:legendPos val="b"/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 sz="825">
              <a:latin typeface="Helvetica Neue"/>
              <a:ea typeface="Helvetica Neue"/>
              <a:cs typeface="Helvetica Neue"/>
            </a:defRPr>
          </a:pPr>
        </a:p>
      </c:txPr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0</xdr:col>
      <xdr:colOff>0</xdr:colOff>
      <xdr:row>21</xdr:row>
      <xdr:rowOff>0</xdr:rowOff>
    </xdr:from>
    <xdr:to>
      <xdr:col>8</xdr:col>
      <xdr:colOff>0</xdr:colOff>
      <xdr:row>37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31a94d06cba43d4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NC_Vendas" displayName="NC_Vendas" ref="A5:AF437" headerRowCount="1" totalsRowCount="0" totalsRowShown="0">
  <x:autoFilter ref="A5:AF437"/>
  <x:tableColumns count="32">
    <x:tableColumn id="1" name="mes"/>
    <x:tableColumn id="2" name="canal"/>
    <x:tableColumn id="3" name="regiao"/>
    <x:tableColumn id="4" name="id"/>
    <x:tableColumn id="5" name="pedidos"/>
    <x:tableColumn id="6" name="receita_bruta"/>
    <x:tableColumn id="7" name="descontos"/>
    <x:tableColumn id="8" name="devolucoes_valor"/>
    <x:tableColumn id="9" name="receita_liquida"/>
    <x:tableColumn id="10" name="cmv"/>
    <x:tableColumn id="11" name="frete_custo"/>
    <x:tableColumn id="12" name="taxas_pagamento"/>
    <x:tableColumn id="13" name="marketing_investimento"/>
    <x:tableColumn id="14" name="novos_clientes"/>
    <x:tableColumn id="15" name="pedidos_atrasados"/>
    <x:tableColumn id="16" name="devolucoes_pedidos"/>
    <x:tableColumn id="17" name="respostas_nps"/>
    <x:tableColumn id="18" name="promotores_nps"/>
    <x:tableColumn id="19" name="detratores_nps"/>
    <x:tableColumn id="20" name="ano"/>
    <x:tableColumn id="21" name="trimestre"/>
    <x:tableColumn id="22" name="margem_bruta_valor"/>
    <x:tableColumn id="23" name="margem_bruta_pct"/>
    <x:tableColumn id="24" name="contribuicao_valor"/>
    <x:tableColumn id="25" name="contribuicao_pct"/>
    <x:tableColumn id="26" name="ticket_bruto"/>
    <x:tableColumn id="27" name="cac_gerencial"/>
    <x:tableColumn id="28" name="taxa_atraso"/>
    <x:tableColumn id="29" name="taxa_devolucao"/>
    <x:tableColumn id="30" name="nps"/>
    <x:tableColumn id="31" name="taxa_desconto"/>
    <x:tableColumn id="32" name="conferencia_receita"/>
  </x:tableColumns>
  <x:tableStyleInfo name="TableStyleLight1" showFirstColumn="0" showLastColumn="0" showRowStripes="1" showColumnStripes="0"/>
</x:table>
</file>

<file path=xl/tables/table2.xml><?xml version="1.0" encoding="utf-8"?>
<x:table xmlns:x="http://schemas.openxmlformats.org/spreadsheetml/2006/main" id="2" name="NC_Pessoas" displayName="NC_Pessoas" ref="A5:M41" headerRowCount="1" totalsRowCount="0" totalsRowShown="0">
  <x:autoFilter ref="A5:M41"/>
  <x:tableColumns count="13">
    <x:tableColumn id="1" name="id"/>
    <x:tableColumn id="2" name="mes"/>
    <x:tableColumn id="3" name="headcount_medio"/>
    <x:tableColumn id="4" name="admissoes"/>
    <x:tableColumn id="5" name="desligamentos"/>
    <x:tableColumn id="6" name="horas_previstas"/>
    <x:tableColumn id="7" name="horas_ausencia"/>
    <x:tableColumn id="8" name="horas_extras"/>
    <x:tableColumn id="9" name="folha_total"/>
    <x:tableColumn id="10" name="turnover_desligamentos"/>
    <x:tableColumn id="11" name="absenteismo"/>
    <x:tableColumn id="12" name="horas_extras_pct"/>
    <x:tableColumn id="13" name="saldo_movimentacoes"/>
  </x:tableColumns>
  <x:tableStyleInfo name="TableStyleLight1" showFirstColumn="0" showLastColumn="0" showRowStripes="1" showColumnStripes="0"/>
</x:table>
</file>

<file path=xl/tables/table3.xml><?xml version="1.0" encoding="utf-8"?>
<x:table xmlns:x="http://schemas.openxmlformats.org/spreadsheetml/2006/main" id="3" name="NC_Estoque" displayName="NC_Estoque" ref="A5:J41" headerRowCount="1" totalsRowCount="0" totalsRowShown="0">
  <x:autoFilter ref="A5:J41"/>
  <x:tableColumns count="10">
    <x:tableColumn id="1" name="id"/>
    <x:tableColumn id="2" name="mes"/>
    <x:tableColumn id="3" name="cmv_mes"/>
    <x:tableColumn id="4" name="estoque_medio_custo"/>
    <x:tableColumn id="5" name="skus_catalogo"/>
    <x:tableColumn id="6" name="skus_sem_estoque"/>
    <x:tableColumn id="7" name="giro_mensal"/>
    <x:tableColumn id="8" name="ruptura_skus"/>
    <x:tableColumn id="9" name="cmv_vendas"/>
    <x:tableColumn id="10" name="diferenca_cmv"/>
  </x:tableColumns>
  <x:tableStyleInfo name="TableStyleLight1" showFirstColumn="0" showLastColumn="0" showRowStripes="1" showColumnStripes="0"/>
</x:table>
</file>

<file path=xl/tables/table4.xml><?xml version="1.0" encoding="utf-8"?>
<x:table xmlns:x="http://schemas.openxmlformats.org/spreadsheetml/2006/main" id="4" name="NC_Mensal" displayName="NC_Mensal" ref="A5:V41" headerRowCount="1" totalsRowCount="0" totalsRowShown="0">
  <x:autoFilter ref="A5:V41"/>
  <x:tableColumns count="22">
    <x:tableColumn id="1" name="mes"/>
    <x:tableColumn id="2" name="receita_bruta"/>
    <x:tableColumn id="3" name="pedidos"/>
    <x:tableColumn id="4" name="receita_liquida"/>
    <x:tableColumn id="5" name="cmv"/>
    <x:tableColumn id="6" name="contribuicao_valor"/>
    <x:tableColumn id="7" name="margem_bruta_pct"/>
    <x:tableColumn id="8" name="contribuicao_pct"/>
    <x:tableColumn id="9" name="ticket_bruto"/>
    <x:tableColumn id="10" name="cac_gerencial"/>
    <x:tableColumn id="11" name="taxa_atraso"/>
    <x:tableColumn id="12" name="nps"/>
    <x:tableColumn id="13" name="marketing_investimento"/>
    <x:tableColumn id="14" name="novos_clientes"/>
    <x:tableColumn id="15" name="pedidos_atrasados"/>
    <x:tableColumn id="16" name="respostas_nps"/>
    <x:tableColumn id="17" name="promotores_nps"/>
    <x:tableColumn id="18" name="detratores_nps"/>
    <x:tableColumn id="19" name="frete_custo"/>
    <x:tableColumn id="20" name="descontos"/>
    <x:tableColumn id="21" name="devolucoes_valor"/>
    <x:tableColumn id="22" name="devolucoes_pedidos"/>
  </x:tableColumns>
  <x:tableStyleInfo name="TableStyleLight1" showFirstColumn="0" showLastColumn="0" showRowStripes="1" showColumnStripes="0"/>
</x:table>
</file>

<file path=xl/tables/table5.xml><?xml version="1.0" encoding="utf-8"?>
<x:table xmlns:x="http://schemas.openxmlformats.org/spreadsheetml/2006/main" id="5" name="NC_Canais" displayName="NC_Canais" ref="A5:W14" headerRowCount="1" totalsRowCount="0" totalsRowShown="0">
  <x:autoFilter ref="A5:W14"/>
  <x:tableColumns count="23">
    <x:tableColumn id="1" name="ano"/>
    <x:tableColumn id="2" name="canal"/>
    <x:tableColumn id="3" name="receita_bruta"/>
    <x:tableColumn id="4" name="pedidos"/>
    <x:tableColumn id="5" name="receita_liquida"/>
    <x:tableColumn id="6" name="cmv"/>
    <x:tableColumn id="7" name="contribuicao_valor"/>
    <x:tableColumn id="8" name="margem_bruta_pct"/>
    <x:tableColumn id="9" name="contribuicao_pct"/>
    <x:tableColumn id="10" name="ticket_bruto"/>
    <x:tableColumn id="11" name="cac_gerencial"/>
    <x:tableColumn id="12" name="taxa_atraso"/>
    <x:tableColumn id="13" name="nps"/>
    <x:tableColumn id="14" name="marketing_investimento"/>
    <x:tableColumn id="15" name="novos_clientes"/>
    <x:tableColumn id="16" name="pedidos_atrasados"/>
    <x:tableColumn id="17" name="respostas_nps"/>
    <x:tableColumn id="18" name="promotores_nps"/>
    <x:tableColumn id="19" name="detratores_nps"/>
    <x:tableColumn id="20" name="frete_custo"/>
    <x:tableColumn id="21" name="descontos"/>
    <x:tableColumn id="22" name="devolucoes_valor"/>
    <x:tableColumn id="23" name="devolucoes_pedidos"/>
  </x:tableColumns>
  <x:tableStyleInfo name="TableStyleLight1" showFirstColumn="0" showLastColumn="0" showRowStripes="1" showColumnStripes="0"/>
</x:table>
</file>

<file path=xl/tables/table6.xml><?xml version="1.0" encoding="utf-8"?>
<x:table xmlns:x="http://schemas.openxmlformats.org/spreadsheetml/2006/main" id="6" name="NC_Regioes" displayName="NC_Regioes" ref="A5:W17" headerRowCount="1" totalsRowCount="0" totalsRowShown="0">
  <x:autoFilter ref="A5:W17"/>
  <x:tableColumns count="23">
    <x:tableColumn id="1" name="ano"/>
    <x:tableColumn id="2" name="regiao"/>
    <x:tableColumn id="3" name="receita_bruta"/>
    <x:tableColumn id="4" name="pedidos"/>
    <x:tableColumn id="5" name="receita_liquida"/>
    <x:tableColumn id="6" name="cmv"/>
    <x:tableColumn id="7" name="contribuicao_valor"/>
    <x:tableColumn id="8" name="margem_bruta_pct"/>
    <x:tableColumn id="9" name="contribuicao_pct"/>
    <x:tableColumn id="10" name="ticket_bruto"/>
    <x:tableColumn id="11" name="cac_gerencial"/>
    <x:tableColumn id="12" name="taxa_atraso"/>
    <x:tableColumn id="13" name="nps"/>
    <x:tableColumn id="14" name="marketing_investimento"/>
    <x:tableColumn id="15" name="novos_clientes"/>
    <x:tableColumn id="16" name="pedidos_atrasados"/>
    <x:tableColumn id="17" name="respostas_nps"/>
    <x:tableColumn id="18" name="promotores_nps"/>
    <x:tableColumn id="19" name="detratores_nps"/>
    <x:tableColumn id="20" name="frete_custo"/>
    <x:tableColumn id="21" name="descontos"/>
    <x:tableColumn id="22" name="devolucoes_valor"/>
    <x:tableColumn id="23" name="devolucoes_pedidos"/>
  </x:tableColumns>
  <x:tableStyleInfo name="TableStyleLight1" showFirstColumn="0" showLastColumn="0" showRowStripes="1" showColumnStripes="0"/>
</x:table>
</file>

<file path=xl/tables/table7.xml><?xml version="1.0" encoding="utf-8"?>
<x:table xmlns:x="http://schemas.openxmlformats.org/spreadsheetml/2006/main" id="7" name="NC_Exercicios" displayName="NC_Exercicios" ref="A5:G24" headerRowCount="1" totalsRowCount="0" totalsRowShown="0">
  <x:autoFilter ref="A5:G24"/>
  <x:tableColumns count="7">
    <x:tableColumn id="1" name="ID"/>
    <x:tableColumn id="2" name="Atividade"/>
    <x:tableColumn id="3" name="Perspectiva"/>
    <x:tableColumn id="4" name="Pergunta ou tarefa"/>
    <x:tableColumn id="5" name="Abas e evidências"/>
    <x:tableColumn id="6" name="Prompts"/>
    <x:tableColumn id="7" name="Entrega e conferência"/>
  </x:tableColumns>
  <x:tableStyleInfo name="TableStyleLight1" showFirstColumn="0" showLastColumn="0" showRowStripes="1" showColumnStripes="0"/>
</x:table>
</file>

<file path=xl/tables/table8.xml><?xml version="1.0" encoding="utf-8"?>
<x:table xmlns:x="http://schemas.openxmlformats.org/spreadsheetml/2006/main" id="8" name="NC_Dicionario" displayName="NC_Dicionario" ref="A5:E57" headerRowCount="1" totalsRowCount="0" totalsRowShown="0">
  <x:autoFilter ref="A5:E57"/>
  <x:tableColumns count="5">
    <x:tableColumn id="1" name="Aba"/>
    <x:tableColumn id="2" name="Campo"/>
    <x:tableColumn id="3" name="Unidade"/>
    <x:tableColumn id="4" name="Definição ou fórmula"/>
    <x:tableColumn id="5" name="Como agregar e interpretar"/>
  </x:tableColumns>
  <x:tableStyleInfo name="TableStyleLight1" showFirstColumn="0" showLastColumn="0" showRowStripes="1" showColumnStripes="0"/>
</x:table>
</file>

<file path=xl/tables/table9.xml><?xml version="1.0" encoding="utf-8"?>
<x:table xmlns:x="http://schemas.openxmlformats.org/spreadsheetml/2006/main" id="9" name="NC_Fontes" displayName="NC_Fontes" ref="A5:D16" headerRowCount="1" totalsRowCount="0" totalsRowShown="0">
  <x:autoFilter ref="A5:D16"/>
  <x:tableColumns count="4">
    <x:tableColumn id="1" name="ID ou arquivo"/>
    <x:tableColumn id="2" name="Conteúdo"/>
    <x:tableColumn id="3" name="Fonte"/>
    <x:tableColumn id="4" name="Descrição"/>
  </x:tableColumns>
  <x:tableStyleInfo name="TableStyleLight1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drawing" Target="/xl/drawings/drawing1.xml" Id="Rb8ffaf1a17e54d5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1.xml" Id="R7c04b9e5bf37463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2.xml" Id="Rccb579c84bf04f42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3.xml" Id="R724c737b4da04289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4.xml" Id="R21a4cca8be2f4537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5.xml" Id="Rc86f57851f184496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6.xml" Id="Rc6c358ecdbac4d1b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7.xml" Id="R844cc6bc8e064f01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8.xml" Id="R916e50f511b04a26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9.xml" Id="Ra7f301660e87494e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118" hidden="0" customWidth="1"/>
  </x:cols>
  <x:sheetData>
    <x:row r="1" ht="32" customHeight="1">
      <x:c r="A1" s="4" t="str">
        <x:v>Conheça a Núcleo Casa</x:v>
      </x:c>
      <x:c r="B1" s="1"/>
    </x:row>
    <x:row r="2" ht="22" customHeight="1">
      <x:c r="A2" s="5" t="str">
        <x:v>Dados para os exemplos e exercícios do workshop</x:v>
      </x:c>
      <x:c r="B2" s="1"/>
    </x:row>
    <x:row r="3" ht="10" customHeight="1">
      <x:c r="A3" s="3"/>
      <x:c r="B3" s="3"/>
    </x:row>
    <x:row r="4" ht="10" customHeight="1">
      <x:c r="A4" s="1"/>
      <x:c r="B4" s="1"/>
    </x:row>
    <x:row r="5" ht="46" customHeight="1">
      <x:c r="A5" s="11" t="str">
        <x:v>Tema</x:v>
      </x:c>
      <x:c r="B5" s="13" t="str">
        <x:v>Orientação</x:v>
      </x:c>
    </x:row>
    <x:row r="6" ht="48" customHeight="1">
      <x:c r="A6" s="31" t="str">
        <x:v>A empresa</x:v>
      </x:c>
      <x:c r="B6" s="30" t="str">
        <x:v>Varejo omnicanal fictício: e-commerce, 12 lojas e B2B. Quatro regiões comerciais. Não há detalhamento individual das lojas.</x:v>
      </x:c>
    </x:row>
    <x:row r="7" ht="48" customHeight="1">
      <x:c r="A7" s="31" t="str">
        <x:v>A base</x:v>
      </x:c>
      <x:c r="B7" s="30" t="str">
        <x:v>NC-2026.1. Janeiro/2023 a dezembro/2025. Os valores históricos e os IDs são os mesmos dos CSVs.</x:v>
      </x:c>
    </x:row>
    <x:row r="8" ht="48" customHeight="1">
      <x:c r="A8" s="31" t="str">
        <x:v>504 registros de origem</x:v>
      </x:c>
      <x:c r="B8" s="30" t="str">
        <x:v>432 registros de vendas + 36 meses de pessoas + 36 meses de estoque. As visões consolidadas repetem agregações, não adicionam operações.</x:v>
      </x:c>
    </x:row>
    <x:row r="9" ht="48" customHeight="1">
      <x:c r="A9" s="31" t="str">
        <x:v>Comece pelas fontes</x:v>
      </x:c>
      <x:c r="B9" s="30" t="str">
        <x:v>Vendas, Pessoas e Estoque contêm os dados. Cabeçalhos correspondem ao CSV. Colunas finais em azul claro contêm fórmulas.</x:v>
      </x:c>
    </x:row>
    <x:row r="10" ht="48" customHeight="1">
      <x:c r="A10" s="31" t="str">
        <x:v>Explore os dados</x:v>
      </x:c>
      <x:c r="B10" s="30" t="str">
        <x:v>Use os filtros das tabelas. Mensal, Canais e Regioes comparam recortes fixos por fórmula. Os filtros de Vendas não alteram essas visões.</x:v>
      </x:c>
    </x:row>
    <x:row r="11" ht="48" customHeight="1">
      <x:c r="A11" s="31" t="str">
        <x:v>Faça os exercícios</x:v>
      </x:c>
      <x:c r="B11" s="30" t="str">
        <x:v>Exercicios relaciona as sete atividades da aula e desafios adicionais aos dados, prompts e critérios de conferência.</x:v>
      </x:c>
    </x:row>
    <x:row r="12" ht="48" customHeight="1">
      <x:c r="A12" s="31" t="str">
        <x:v>Confira seus resultados</x:v>
      </x:c>
      <x:c r="B12" s="30" t="str">
        <x:v>Resumo reconcilia o slide 03. Confira fórmulas e IDs após produzir sua análise. As taxas usam numeradores e denominadores do mesmo recorte.</x:v>
      </x:c>
    </x:row>
    <x:row r="13" ht="48" customHeight="1">
      <x:c r="A13" s="31" t="str">
        <x:v>Simule decisões</x:v>
      </x:c>
      <x:c r="B13" s="30" t="str">
        <x:v>Cenarios contém alocação de R$ 1,2 milhão e sensibilidade de contribuição. As células amarelas são hipóteses editáveis, sem promessa de retorno.</x:v>
      </x:c>
    </x:row>
    <x:row r="14" ht="48" customHeight="1">
      <x:c r="A14" s="31" t="str">
        <x:v>Pedidos e clientes</x:v>
      </x:c>
      <x:c r="B14" s="30" t="str">
        <x:v>41.820 é a quantidade de pedidos. novos_clientes é uma atribuição gerencial. Não há IDs de cliente, coortes, LTV ou recompra.</x:v>
      </x:c>
    </x:row>
    <x:row r="15" ht="48" customHeight="1">
      <x:c r="A15" s="31" t="str">
        <x:v>Pessoas e estoque</x:v>
      </x:c>
      <x:c r="B15" s="30" t="str">
        <x:v>Bases consolidadas por mês. Agregue vendas antes do cruzamento. Não multiplique folha ou estoque pelas 12 linhas de vendas do mês.</x:v>
      </x:c>
    </x:row>
    <x:row r="16" ht="48" customHeight="1">
      <x:c r="A16" s="31" t="str">
        <x:v>Limites financeiros</x:v>
      </x:c>
      <x:c r="B16" s="30" t="str">
        <x:v>Contribuição simplificada não é lucro líquido. Não há fluxo de caixa, datas de recebimento ou custos fixos completos.</x:v>
      </x:c>
    </x:row>
    <x:row r="17" ht="48" customHeight="1">
      <x:c r="A17" s="31" t="str">
        <x:v>Limites operacionais</x:v>
      </x:c>
      <x:c r="B17" s="30" t="str">
        <x:v>Não há transportadora, SKU individual, produtividade pessoal ou comprovação causal. Catálogo de 1.280 SKUs é atributo do cenário.</x:v>
      </x:c>
    </x:row>
    <x:row r="18" ht="48" customHeight="1">
      <x:c r="A18" s="31" t="str">
        <x:v>Corte temporal</x:v>
      </x:c>
      <x:c r="B18" s="30" t="str">
        <x:v>A reunião é simulada em 15/12/2025, mas a base contém dezembro completo para fins didáticos. Na decisão nessa data, filtre até novembro/2025.</x:v>
      </x:c>
    </x:row>
    <x:row r="19" ht="48" customHeight="1">
      <x:c r="A19" s="31" t="str">
        <x:v>Contexto e fontes</x:v>
      </x:c>
      <x:c r="B19" s="30" t="str">
        <x:v>Fontes preserva POL-01, LOG-01, CON-01 e PES-01. Dicionario explica unidades, agregação e fórmulas.</x:v>
      </x:c>
    </x:row>
    <x:row r="20" ht="48" customHeight="1">
      <x:c r="A20" s="31" t="str">
        <x:v>Rastreabilidade</x:v>
      </x:c>
      <x:c r="B20" s="30" t="str">
        <x:v>Cite nome do CSV ou aba, ID, competência e fórmula. A linha 6 da planilha corresponde ao primeiro registro do CSV.</x:v>
      </x:c>
    </x:row>
    <x:row r="21" ht="48" customHeight="1">
      <x:c r="A21" s="31" t="str">
        <x:v>Uso com IA</x:v>
      </x:c>
      <x:c r="B21" s="30" t="str">
        <x:v>Anexe o XLSX ou os CSVs com LEIA-ME.md, conforme o exercício e a ferramenta. Não alegue ter analisado arquivos não anexados.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23" hidden="0" customWidth="1"/>
    <x:col min="3" max="3" width="16" hidden="0" customWidth="1"/>
    <x:col min="4" max="4" width="23" hidden="0" customWidth="1"/>
    <x:col min="5" max="5" width="23" hidden="0" customWidth="1"/>
    <x:col min="6" max="6" width="20" hidden="0" customWidth="1"/>
    <x:col min="7" max="7" width="20" hidden="0" customWidth="1"/>
    <x:col min="8" max="8" width="16" hidden="0" customWidth="1"/>
    <x:col min="10" max="10" width="20" hidden="0" customWidth="1"/>
    <x:col min="11" max="11" width="20" hidden="0" customWidth="1"/>
    <x:col min="12" max="12" width="20" hidden="0" customWidth="1"/>
  </x:cols>
  <x:sheetData>
    <x:row r="1" ht="32" customHeight="1">
      <x:c r="A1" s="4" t="str">
        <x:v>Núcleo Casa</x:v>
      </x:c>
      <x:c r="B1" s="1"/>
      <x:c r="C1" s="1"/>
      <x:c r="D1" s="1"/>
      <x:c r="E1" s="1"/>
      <x:c r="F1" s="1"/>
      <x:c r="G1" s="1"/>
      <x:c r="H1" s="1"/>
    </x:row>
    <x:row r="2" ht="22" customHeight="1">
      <x:c r="A2" s="5" t="str">
        <x:v>NC-2026.1 · janeiro/2023 a dezembro/2025 · empresa e dados inteiramente fictícios</x:v>
      </x:c>
      <x:c r="B2" s="1"/>
      <x:c r="C2" s="1"/>
      <x:c r="D2" s="1"/>
      <x:c r="E2" s="1"/>
      <x:c r="F2" s="1"/>
      <x:c r="G2" s="1"/>
      <x:c r="H2" s="1"/>
    </x:row>
    <x:row r="3" ht="10" customHeight="1">
      <x:c r="A3" s="3"/>
      <x:c r="B3" s="3"/>
      <x:c r="C3" s="3"/>
      <x:c r="D3" s="3"/>
      <x:c r="E3" s="3"/>
      <x:c r="F3" s="3"/>
      <x:c r="G3" s="3"/>
      <x:c r="H3" s="3"/>
    </x:row>
    <x:row r="4" ht="10" customHeight="1">
      <x:c r="A4" s="1"/>
      <x:c r="B4" s="1"/>
      <x:c r="C4" s="1"/>
      <x:c r="D4" s="1"/>
      <x:c r="E4" s="1"/>
      <x:c r="F4" s="1"/>
      <x:c r="G4" s="1"/>
      <x:c r="H4" s="1"/>
    </x:row>
    <x:row r="5" ht="46" customHeight="1">
      <x:c r="A5" s="11" t="str">
        <x:v>Ano</x:v>
      </x:c>
      <x:c r="B5" s="12" t="str">
        <x:v>Receita bruta</x:v>
      </x:c>
      <x:c r="C5" s="12" t="str">
        <x:v>Pedidos</x:v>
      </x:c>
      <x:c r="D5" s="12" t="str">
        <x:v>Receita líquida</x:v>
      </x:c>
      <x:c r="E5" s="12" t="str">
        <x:v>Contribuição</x:v>
      </x:c>
      <x:c r="F5" s="12" t="str">
        <x:v>Margem bruta</x:v>
      </x:c>
      <x:c r="G5" s="12" t="str">
        <x:v>Taxa de atraso</x:v>
      </x:c>
      <x:c r="H5" s="13" t="str">
        <x:v>NPS</x:v>
      </x:c>
      <x:c r="J5" s="1" t="str">
        <x:v>Ano</x:v>
      </x:c>
      <x:c r="K5" s="1" t="str">
        <x:v>Receita bruta</x:v>
      </x:c>
      <x:c r="L5" s="1" t="str">
        <x:v>Contribuição</x:v>
      </x:c>
    </x:row>
    <x:row r="6" ht="24" customHeight="1">
      <x:c r="A6" s="2" t="n">
        <x:v>2023</x:v>
      </x:c>
      <x:c r="B6" s="17" t="n">
        <x:f>SUMIF('Vendas'!$T$6:$T$437,$A6,'Vendas'!$F$6:$F$437)</x:f>
        <x:v>13468189.27999999</x:v>
      </x:c>
      <x:c r="C6" s="16" t="n">
        <x:f>SUMIF('Vendas'!$T$6:$T$437,$A6,'Vendas'!$E$6:$E$437)</x:f>
        <x:v>11592</x:v>
      </x:c>
      <x:c r="D6" s="17" t="n">
        <x:f>SUMIF('Vendas'!$T$6:$T$437,$A6,'Vendas'!$I$6:$I$437)</x:f>
        <x:v>12911804.590000002</x:v>
      </x:c>
      <x:c r="E6" s="17" t="n">
        <x:f>SUMIF('Vendas'!$T$6:$T$437,$A6,'Vendas'!$X$6:$X$437)</x:f>
        <x:v>4763023.739999998</x:v>
      </x:c>
      <x:c r="F6" s="22" t="n">
        <x:f>IF(D6=0,"",(D6-SUMIF('Vendas'!$T$6:$T$437,$A6,'Vendas'!$J$6:$J$437))/D6)</x:f>
        <x:v>0.46839245187182615</x:v>
      </x:c>
      <x:c r="G6" s="22" t="n">
        <x:f>IF(C6=0,"",SUMIF('Vendas'!$T$6:$T$437,$A6,'Vendas'!$O$6:$O$437)/C6)</x:f>
        <x:v>0.06418219461697723</x:v>
      </x:c>
      <x:c r="H6" s="23" t="n">
        <x:f>IF(SUMIF('Vendas'!$T$6:$T$437,$A6,'Vendas'!$Q$6:$Q$437)=0,"",100*(SUMIF('Vendas'!$T$6:$T$437,$A6,'Vendas'!$R$6:$R$437)-SUMIF('Vendas'!$T$6:$T$437,$A6,'Vendas'!$S$6:$S$437))/SUMIF('Vendas'!$T$6:$T$437,$A6,'Vendas'!$Q$6:$Q$437))</x:f>
        <x:v>58.2053354890865</x:v>
      </x:c>
      <x:c r="J6" s="1" t="str">
        <x:f>A6&amp;""</x:f>
        <x:v>2023</x:v>
      </x:c>
      <x:c r="K6" s="29" t="n">
        <x:f>B6</x:f>
        <x:v>13468189.27999999</x:v>
      </x:c>
      <x:c r="L6" s="29" t="n">
        <x:f>E6</x:f>
        <x:v>4763023.739999998</x:v>
      </x:c>
    </x:row>
    <x:row r="7" ht="24" customHeight="1">
      <x:c r="A7" s="2" t="n">
        <x:v>2024</x:v>
      </x:c>
      <x:c r="B7" s="17" t="n">
        <x:f>SUMIF('Vendas'!$T$6:$T$437,$A7,'Vendas'!$F$6:$F$437)</x:f>
        <x:v>16177019.990000006</x:v>
      </x:c>
      <x:c r="C7" s="16" t="n">
        <x:f>SUMIF('Vendas'!$T$6:$T$437,$A7,'Vendas'!$E$6:$E$437)</x:f>
        <x:v>13916</x:v>
      </x:c>
      <x:c r="D7" s="17" t="n">
        <x:f>SUMIF('Vendas'!$T$6:$T$437,$A7,'Vendas'!$I$6:$I$437)</x:f>
        <x:v>15304611.12</x:v>
      </x:c>
      <x:c r="E7" s="17" t="n">
        <x:f>SUMIF('Vendas'!$T$6:$T$437,$A7,'Vendas'!$X$6:$X$437)</x:f>
        <x:v>4847843.720000001</x:v>
      </x:c>
      <x:c r="F7" s="22" t="n">
        <x:f>IF(D7=0,"",(D7-SUMIF('Vendas'!$T$6:$T$437,$A7,'Vendas'!$J$6:$J$437))/D7)</x:f>
        <x:v>0.42836443857320283</x:v>
      </x:c>
      <x:c r="G7" s="22" t="n">
        <x:f>IF(C7=0,"",SUMIF('Vendas'!$T$6:$T$437,$A7,'Vendas'!$O$6:$O$437)/C7)</x:f>
        <x:v>0.11195745903995401</x:v>
      </x:c>
      <x:c r="H7" s="23" t="n">
        <x:f>IF(SUMIF('Vendas'!$T$6:$T$437,$A7,'Vendas'!$Q$6:$Q$437)=0,"",100*(SUMIF('Vendas'!$T$6:$T$437,$A7,'Vendas'!$R$6:$R$437)-SUMIF('Vendas'!$T$6:$T$437,$A7,'Vendas'!$S$6:$S$437))/SUMIF('Vendas'!$T$6:$T$437,$A7,'Vendas'!$Q$6:$Q$437))</x:f>
        <x:v>46.03103215651001</x:v>
      </x:c>
      <x:c r="J7" s="1" t="str">
        <x:f>A7&amp;""</x:f>
        <x:v>2024</x:v>
      </x:c>
      <x:c r="K7" s="29" t="n">
        <x:f>B7</x:f>
        <x:v>16177019.990000006</x:v>
      </x:c>
      <x:c r="L7" s="29" t="n">
        <x:f>E7</x:f>
        <x:v>4847843.720000001</x:v>
      </x:c>
    </x:row>
    <x:row r="8" ht="24" customHeight="1">
      <x:c r="A8" s="2" t="n">
        <x:v>2025</x:v>
      </x:c>
      <x:c r="B8" s="17" t="n">
        <x:f>SUMIF('Vendas'!$T$6:$T$437,$A8,'Vendas'!$F$6:$F$437)</x:f>
        <x:v>18954790.729999997</x:v>
      </x:c>
      <x:c r="C8" s="16" t="n">
        <x:f>SUMIF('Vendas'!$T$6:$T$437,$A8,'Vendas'!$E$6:$E$437)</x:f>
        <x:v>16312</x:v>
      </x:c>
      <x:c r="D8" s="17" t="n">
        <x:f>SUMIF('Vendas'!$T$6:$T$437,$A8,'Vendas'!$I$6:$I$437)</x:f>
        <x:v>17693174.85</x:v>
      </x:c>
      <x:c r="E8" s="17" t="n">
        <x:f>SUMIF('Vendas'!$T$6:$T$437,$A8,'Vendas'!$X$6:$X$437)</x:f>
        <x:v>4597579.979999999</x:v>
      </x:c>
      <x:c r="F8" s="22" t="n">
        <x:f>IF(D8=0,"",(D8-SUMIF('Vendas'!$T$6:$T$437,$A8,'Vendas'!$J$6:$J$437))/D8)</x:f>
        <x:v>0.38355219103031707</x:v>
      </x:c>
      <x:c r="G8" s="22" t="n">
        <x:f>IF(C8=0,"",SUMIF('Vendas'!$T$6:$T$437,$A8,'Vendas'!$O$6:$O$437)/C8)</x:f>
        <x:v>0.16570622854340364</x:v>
      </x:c>
      <x:c r="H8" s="23" t="n">
        <x:f>IF(SUMIF('Vendas'!$T$6:$T$437,$A8,'Vendas'!$Q$6:$Q$437)=0,"",100*(SUMIF('Vendas'!$T$6:$T$437,$A8,'Vendas'!$R$6:$R$437)-SUMIF('Vendas'!$T$6:$T$437,$A8,'Vendas'!$S$6:$S$437))/SUMIF('Vendas'!$T$6:$T$437,$A8,'Vendas'!$Q$6:$Q$437))</x:f>
        <x:v>34.03602912993484</x:v>
      </x:c>
      <x:c r="J8" s="1" t="str">
        <x:f>A8&amp;""</x:f>
        <x:v>2025</x:v>
      </x:c>
      <x:c r="K8" s="29" t="n">
        <x:f>B8</x:f>
        <x:v>18954790.729999997</x:v>
      </x:c>
      <x:c r="L8" s="29" t="n">
        <x:f>E8</x:f>
        <x:v>4597579.979999999</x:v>
      </x:c>
    </x:row>
    <x:row r="11" ht="30" customHeight="1">
      <x:c r="A11" s="27" t="str">
        <x:v>Conferência do slide 03</x:v>
      </x:c>
      <x:c r="B11" s="27" t="str">
        <x:v>Calculado</x:v>
      </x:c>
      <x:c r="C11" s="27" t="str">
        <x:v>Referência</x:v>
      </x:c>
      <x:c r="D11" s="27" t="str">
        <x:v>Diferença</x:v>
      </x:c>
    </x:row>
    <x:row r="12">
      <x:c r="A12" t="str">
        <x:v>Receita bruta</x:v>
      </x:c>
      <x:c r="B12" s="24" t="n">
        <x:f>SUM('Vendas'!F6:F437)</x:f>
        <x:v>48600000.000000015</x:v>
      </x:c>
      <x:c r="C12" s="24" t="n">
        <x:v>48600000</x:v>
      </x:c>
      <x:c r="D12" s="24" t="n">
        <x:f>ROUND(B12-C12,2)</x:f>
        <x:v>0</x:v>
      </x:c>
    </x:row>
    <x:row r="13">
      <x:c r="A13" t="str">
        <x:v>Pedidos</x:v>
      </x:c>
      <x:c r="B13" s="25" t="n">
        <x:f>SUM('Vendas'!E6:E437)</x:f>
        <x:v>41820</x:v>
      </x:c>
      <x:c r="C13" s="25" t="n">
        <x:v>41820</x:v>
      </x:c>
      <x:c r="D13" s="25" t="n">
        <x:f>ROUND(B13-C13,2)</x:f>
        <x:v>0</x:v>
      </x:c>
    </x:row>
    <x:row r="14">
      <x:c r="A14" t="str">
        <x:v>Registros de vendas</x:v>
      </x:c>
      <x:c r="B14" s="25" t="n">
        <x:f>COUNTA('Vendas'!D6:D437)</x:f>
        <x:v>432</x:v>
      </x:c>
      <x:c r="C14" s="25" t="n">
        <x:v>432</x:v>
      </x:c>
      <x:c r="D14" s="25" t="n">
        <x:f>ROUND(B14-C14,2)</x:f>
        <x:v>0</x:v>
      </x:c>
    </x:row>
    <x:row r="15">
      <x:c r="A15" t="str">
        <x:v>Meses de pessoas</x:v>
      </x:c>
      <x:c r="B15" s="25" t="n">
        <x:f>COUNTA('Pessoas'!A6:A41)</x:f>
        <x:v>36</x:v>
      </x:c>
      <x:c r="C15" s="25" t="n">
        <x:v>36</x:v>
      </x:c>
      <x:c r="D15" s="25" t="n">
        <x:f>ROUND(B15-C15,2)</x:f>
        <x:v>0</x:v>
      </x:c>
    </x:row>
    <x:row r="16">
      <x:c r="A16" t="str">
        <x:v>Meses de estoque</x:v>
      </x:c>
      <x:c r="B16" s="25" t="n">
        <x:f>COUNTA('Estoque'!A6:A41)</x:f>
        <x:v>36</x:v>
      </x:c>
      <x:c r="C16" s="25" t="n">
        <x:v>36</x:v>
      </x:c>
      <x:c r="D16" s="25" t="n">
        <x:f>ROUND(B16-C16,2)</x:f>
        <x:v>0</x:v>
      </x:c>
    </x:row>
    <x:row r="18">
      <x:c r="A18" s="28" t="str">
        <x:v>Contribuição gerencial exclui folha e outros custos fixos. Não representa lucro líquido ou caixa.</x:v>
      </x:c>
      <x:c r="B18" s="28"/>
      <x:c r="C18" s="28"/>
      <x:c r="D18" s="28"/>
      <x:c r="E18" s="28"/>
      <x:c r="F18" s="28"/>
      <x:c r="G18" s="28"/>
      <x:c r="H18" s="28"/>
    </x:row>
    <x:row r="19">
      <x:c r="A19" s="28" t="str">
        <x:v>Comparativos completos usam dezembro/2025. Para corte em 15/12/2025, use meses encerrados até novembro.</x:v>
      </x:c>
      <x:c r="B19" s="28"/>
      <x:c r="C19" s="28"/>
      <x:c r="D19" s="28"/>
      <x:c r="E19" s="28"/>
      <x:c r="F19" s="28"/>
      <x:c r="G19" s="28"/>
      <x:c r="H19" s="28"/>
    </x:row>
  </x:sheetData>
  <x:conditionalFormatting sqref="D12:D16">
    <x:cfRule type="cellIs" dxfId="0" priority="1" operator="notEqual">
      <x:formula>0</x:formula>
    </x:cfRule>
  </x:conditionalFormatting>
  <x:pageMargins left="0.7" right="0.7" top="0.75" bottom="0.75" header="0.3" footer="0.3"/>
  <x:drawing xmlns:r="http://schemas.openxmlformats.org/officeDocument/2006/relationships" r:id="Rb8ffaf1a17e54d51"/>
</x:worksheet>
</file>

<file path=xl/worksheets/sheet3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8" hidden="0" customWidth="1"/>
    <x:col min="3" max="3" width="18" hidden="0" customWidth="1"/>
    <x:col min="4" max="4" width="13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18" hidden="0" customWidth="1"/>
    <x:col min="13" max="13" width="24" hidden="0" customWidth="1"/>
    <x:col min="14" max="14" width="18" hidden="0" customWidth="1"/>
    <x:col min="15" max="15" width="19" hidden="0" customWidth="1"/>
    <x:col min="16" max="16" width="20" hidden="0" customWidth="1"/>
    <x:col min="17" max="17" width="18" hidden="0" customWidth="1"/>
    <x:col min="18" max="18" width="18" hidden="0" customWidth="1"/>
    <x:col min="19" max="19" width="18" hidden="0" customWidth="1"/>
    <x:col min="20" max="20" width="13" hidden="0" customWidth="1"/>
    <x:col min="21" max="21" width="13" hidden="0" customWidth="1"/>
    <x:col min="22" max="22" width="20" hidden="0" customWidth="1"/>
    <x:col min="23" max="23" width="18" hidden="0" customWidth="1"/>
    <x:col min="24" max="24" width="20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21" hidden="0" customWidth="1"/>
  </x:cols>
  <x:sheetData>
    <x:row r="1" ht="32" customHeight="1">
      <x:c r="A1" s="4" t="str">
        <x:v>Vendas por mês, canal e região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</x:row>
    <x:row r="2" ht="22" customHeight="1">
      <x:c r="A2" s="5" t="str">
        <x:v>nucleo-casa-mensal.csv · NC-2026.1 · 432 registros fictícios · colunas finais calculadas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  <x:c r="X2" s="1"/>
      <x:c r="Y2" s="1"/>
      <x:c r="Z2" s="1"/>
      <x:c r="AA2" s="1"/>
      <x:c r="AB2" s="1"/>
      <x:c r="AC2" s="1"/>
      <x:c r="AD2" s="1"/>
      <x:c r="AE2" s="1"/>
      <x:c r="AF2" s="1"/>
    </x:row>
    <x:row r="3" ht="10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  <x:c r="X3" s="3"/>
      <x:c r="Y3" s="3"/>
      <x:c r="Z3" s="3"/>
      <x:c r="AA3" s="3"/>
      <x:c r="AB3" s="3"/>
      <x:c r="AC3" s="3"/>
      <x:c r="AD3" s="3"/>
      <x:c r="AE3" s="3"/>
      <x:c r="AF3" s="3"/>
    </x:row>
    <x:row r="4" ht="10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  <x:c r="X4" s="1"/>
      <x:c r="Y4" s="1"/>
      <x:c r="Z4" s="1"/>
      <x:c r="AA4" s="1"/>
      <x:c r="AB4" s="1"/>
      <x:c r="AC4" s="1"/>
      <x:c r="AD4" s="1"/>
      <x:c r="AE4" s="1"/>
      <x:c r="AF4" s="1"/>
    </x:row>
    <x:row r="5" ht="46" customHeight="1">
      <x:c r="A5" s="11" t="str">
        <x:v>mes</x:v>
      </x:c>
      <x:c r="B5" s="12" t="str">
        <x:v>canal</x:v>
      </x:c>
      <x:c r="C5" s="12" t="str">
        <x:v>regiao</x:v>
      </x:c>
      <x:c r="D5" s="12" t="str">
        <x:v>id</x:v>
      </x:c>
      <x:c r="E5" s="12" t="str">
        <x:v>pedidos</x:v>
      </x:c>
      <x:c r="F5" s="12" t="str">
        <x:v>receita_bruta</x:v>
      </x:c>
      <x:c r="G5" s="12" t="str">
        <x:v>descontos</x:v>
      </x:c>
      <x:c r="H5" s="12" t="str">
        <x:v>devolucoes_valor</x:v>
      </x:c>
      <x:c r="I5" s="12" t="str">
        <x:v>receita_liquida</x:v>
      </x:c>
      <x:c r="J5" s="12" t="str">
        <x:v>cmv</x:v>
      </x:c>
      <x:c r="K5" s="12" t="str">
        <x:v>frete_custo</x:v>
      </x:c>
      <x:c r="L5" s="12" t="str">
        <x:v>taxas_pagamento</x:v>
      </x:c>
      <x:c r="M5" s="12" t="str">
        <x:v>marketing_investimento</x:v>
      </x:c>
      <x:c r="N5" s="12" t="str">
        <x:v>novos_clientes</x:v>
      </x:c>
      <x:c r="O5" s="12" t="str">
        <x:v>pedidos_atrasados</x:v>
      </x:c>
      <x:c r="P5" s="12" t="str">
        <x:v>devolucoes_pedidos</x:v>
      </x:c>
      <x:c r="Q5" s="12" t="str">
        <x:v>respostas_nps</x:v>
      </x:c>
      <x:c r="R5" s="12" t="str">
        <x:v>promotores_nps</x:v>
      </x:c>
      <x:c r="S5" s="12" t="str">
        <x:v>detratores_nps</x:v>
      </x:c>
      <x:c r="T5" s="12" t="str">
        <x:v>ano</x:v>
      </x:c>
      <x:c r="U5" s="12" t="str">
        <x:v>trimestre</x:v>
      </x:c>
      <x:c r="V5" s="12" t="str">
        <x:v>margem_bruta_valor</x:v>
      </x:c>
      <x:c r="W5" s="12" t="str">
        <x:v>margem_bruta_pct</x:v>
      </x:c>
      <x:c r="X5" s="12" t="str">
        <x:v>contribuicao_valor</x:v>
      </x:c>
      <x:c r="Y5" s="12" t="str">
        <x:v>contribuicao_pct</x:v>
      </x:c>
      <x:c r="Z5" s="12" t="str">
        <x:v>ticket_bruto</x:v>
      </x:c>
      <x:c r="AA5" s="12" t="str">
        <x:v>cac_gerencial</x:v>
      </x:c>
      <x:c r="AB5" s="12" t="str">
        <x:v>taxa_atraso</x:v>
      </x:c>
      <x:c r="AC5" s="12" t="str">
        <x:v>taxa_devolucao</x:v>
      </x:c>
      <x:c r="AD5" s="12" t="str">
        <x:v>nps</x:v>
      </x:c>
      <x:c r="AE5" s="12" t="str">
        <x:v>taxa_desconto</x:v>
      </x:c>
      <x:c r="AF5" s="13" t="str">
        <x:v>conferencia_receita</x:v>
      </x:c>
    </x:row>
    <x:row r="6" ht="24" customHeight="1">
      <x:c r="A6" s="14" t="n">
        <x:v>44927</x:v>
      </x:c>
      <x:c r="B6" s="2" t="str">
        <x:v>E-commerce</x:v>
      </x:c>
      <x:c r="C6" s="2" t="str">
        <x:v>Sudeste</x:v>
      </x:c>
      <x:c r="D6" s="2" t="str">
        <x:v>M-0001</x:v>
      </x:c>
      <x:c r="E6" s="16" t="n">
        <x:v>133</x:v>
      </x:c>
      <x:c r="F6" s="17" t="n">
        <x:v>155138.1</x:v>
      </x:c>
      <x:c r="G6" s="17" t="n">
        <x:v>3878.45</x:v>
      </x:c>
      <x:c r="H6" s="17" t="n">
        <x:v>1551.38</x:v>
      </x:c>
      <x:c r="I6" s="17" t="n">
        <x:v>149708.27</x:v>
      </x:c>
      <x:c r="J6" s="17" t="n">
        <x:v>76044.34</x:v>
      </x:c>
      <x:c r="K6" s="17" t="n">
        <x:v>5988.33</x:v>
      </x:c>
      <x:c r="L6" s="17" t="n">
        <x:v>3593</x:v>
      </x:c>
      <x:c r="M6" s="17" t="n">
        <x:v>11228.12</x:v>
      </x:c>
      <x:c r="N6" s="16" t="n">
        <x:v>69</x:v>
      </x:c>
      <x:c r="O6" s="16" t="n">
        <x:v>5</x:v>
      </x:c>
      <x:c r="P6" s="16" t="n">
        <x:v>2</x:v>
      </x:c>
      <x:c r="Q6" s="16" t="n">
        <x:v>43</x:v>
      </x:c>
      <x:c r="R6" s="16" t="n">
        <x:v>32</x:v>
      </x:c>
      <x:c r="S6" s="16" t="n">
        <x:v>4</x:v>
      </x:c>
      <x:c r="T6" s="15" t="n">
        <x:f>YEAR(A6)</x:f>
        <x:v>2023</x:v>
      </x:c>
      <x:c r="U6" s="15" t="n">
        <x:f>ROUNDUP(MONTH(A6)/3,0)</x:f>
        <x:v>1</x:v>
      </x:c>
      <x:c r="V6" s="18" t="n">
        <x:f>I6-J6</x:f>
        <x:v>73663.93</x:v>
      </x:c>
      <x:c r="W6" s="19" t="n">
        <x:f>IF(I6=0,"",V6/I6)</x:f>
        <x:v>0.4920498379949217</x:v>
      </x:c>
      <x:c r="X6" s="18" t="n">
        <x:f>I6-J6-K6-L6-M6</x:f>
        <x:v>52854.47999999999</x:v>
      </x:c>
      <x:c r="Y6" s="19" t="n">
        <x:f>IF(I6=0,"",X6/I6)</x:f>
        <x:v>0.3530498348554825</x:v>
      </x:c>
      <x:c r="Z6" s="18" t="n">
        <x:f>IF(E6=0,"",F6/E6)</x:f>
        <x:v>1166.4518796992481</x:v>
      </x:c>
      <x:c r="AA6" s="18" t="n">
        <x:f>IF(N6=0,"",M6/N6)</x:f>
        <x:v>162.7263768115942</x:v>
      </x:c>
      <x:c r="AB6" s="19" t="n">
        <x:f>IF(E6=0,"",O6/E6)</x:f>
        <x:v>0.03759398496240601</x:v>
      </x:c>
      <x:c r="AC6" s="19" t="n">
        <x:f>IF(E6=0,"",P6/E6)</x:f>
        <x:v>0.015037593984962405</x:v>
      </x:c>
      <x:c r="AD6" s="20" t="n">
        <x:f>IF(Q6=0,"",100*(R6-S6)/Q6)</x:f>
        <x:v>65.11627906976744</x:v>
      </x:c>
      <x:c r="AE6" s="19" t="n">
        <x:f>IF(F6=0,"",G6/F6)</x:f>
        <x:v>0.024999983885325396</x:v>
      </x:c>
      <x:c r="AF6" s="18" t="n">
        <x:f>ROUND(I6-(F6-G6-H6),2)</x:f>
        <x:v>0</x:v>
      </x:c>
    </x:row>
    <x:row r="7" ht="24" customHeight="1">
      <x:c r="A7" s="14" t="n">
        <x:v>44927</x:v>
      </x:c>
      <x:c r="B7" s="2" t="str">
        <x:v>E-commerce</x:v>
      </x:c>
      <x:c r="C7" s="2" t="str">
        <x:v>Nordeste</x:v>
      </x:c>
      <x:c r="D7" s="2" t="str">
        <x:v>M-0002</x:v>
      </x:c>
      <x:c r="E7" s="16" t="n">
        <x:v>88</x:v>
      </x:c>
      <x:c r="F7" s="17" t="n">
        <x:v>101850.09</x:v>
      </x:c>
      <x:c r="G7" s="17" t="n">
        <x:v>2546.25</x:v>
      </x:c>
      <x:c r="H7" s="17" t="n">
        <x:v>1018.5</x:v>
      </x:c>
      <x:c r="I7" s="17" t="n">
        <x:v>98285.34</x:v>
      </x:c>
      <x:c r="J7" s="17" t="n">
        <x:v>47904.38</x:v>
      </x:c>
      <x:c r="K7" s="17" t="n">
        <x:v>3931.41</x:v>
      </x:c>
      <x:c r="L7" s="17" t="n">
        <x:v>2358.85</x:v>
      </x:c>
      <x:c r="M7" s="17" t="n">
        <x:v>7371.4</x:v>
      </x:c>
      <x:c r="N7" s="16" t="n">
        <x:v>46</x:v>
      </x:c>
      <x:c r="O7" s="16" t="n">
        <x:v>4</x:v>
      </x:c>
      <x:c r="P7" s="16" t="n">
        <x:v>2</x:v>
      </x:c>
      <x:c r="Q7" s="16" t="n">
        <x:v>28</x:v>
      </x:c>
      <x:c r="R7" s="16" t="n">
        <x:v>21</x:v>
      </x:c>
      <x:c r="S7" s="16" t="n">
        <x:v>3</x:v>
      </x:c>
      <x:c r="T7" s="15" t="n">
        <x:f>YEAR(A7)</x:f>
        <x:v>2023</x:v>
      </x:c>
      <x:c r="U7" s="15" t="n">
        <x:f>ROUNDUP(MONTH(A7)/3,0)</x:f>
        <x:v>1</x:v>
      </x:c>
      <x:c r="V7" s="18" t="n">
        <x:f>I7-J7</x:f>
        <x:v>50380.96</x:v>
      </x:c>
      <x:c r="W7" s="19" t="n">
        <x:f>IF(I7=0,"",V7/I7)</x:f>
        <x:v>0.5125989287924323</x:v>
      </x:c>
      <x:c r="X7" s="18" t="n">
        <x:f>I7-J7-K7-L7-M7</x:f>
        <x:v>36719.3</x:v>
      </x:c>
      <x:c r="Y7" s="19" t="n">
        <x:f>IF(I7=0,"",X7/I7)</x:f>
        <x:v>0.373598951786706</x:v>
      </x:c>
      <x:c r="Z7" s="18" t="n">
        <x:f>IF(E7=0,"",F7/E7)</x:f>
        <x:v>1157.3873863636363</x:v>
      </x:c>
      <x:c r="AA7" s="18" t="n">
        <x:f>IF(N7=0,"",M7/N7)</x:f>
        <x:v>160.2478260869565</x:v>
      </x:c>
      <x:c r="AB7" s="19" t="n">
        <x:f>IF(E7=0,"",O7/E7)</x:f>
        <x:v>0.045454545454545456</x:v>
      </x:c>
      <x:c r="AC7" s="19" t="n">
        <x:f>IF(E7=0,"",P7/E7)</x:f>
        <x:v>0.022727272727272728</x:v>
      </x:c>
      <x:c r="AD7" s="20" t="n">
        <x:f>IF(Q7=0,"",100*(R7-S7)/Q7)</x:f>
        <x:v>64.28571428571429</x:v>
      </x:c>
      <x:c r="AE7" s="19" t="n">
        <x:f>IF(F7=0,"",G7/F7)</x:f>
        <x:v>0.02499997790870877</x:v>
      </x:c>
      <x:c r="AF7" s="18" t="n">
        <x:f>ROUND(I7-(F7-G7-H7),2)</x:f>
        <x:v>0</x:v>
      </x:c>
    </x:row>
    <x:row r="8" ht="24" customHeight="1">
      <x:c r="A8" s="14" t="n">
        <x:v>44927</x:v>
      </x:c>
      <x:c r="B8" s="2" t="str">
        <x:v>E-commerce</x:v>
      </x:c>
      <x:c r="C8" s="2" t="str">
        <x:v>Sul</x:v>
      </x:c>
      <x:c r="D8" s="2" t="str">
        <x:v>M-0003</x:v>
      </x:c>
      <x:c r="E8" s="16" t="n">
        <x:v>67</x:v>
      </x:c>
      <x:c r="F8" s="17" t="n">
        <x:v>77506.15</x:v>
      </x:c>
      <x:c r="G8" s="17" t="n">
        <x:v>1937.65</x:v>
      </x:c>
      <x:c r="H8" s="17" t="n">
        <x:v>775.06</x:v>
      </x:c>
      <x:c r="I8" s="17" t="n">
        <x:v>74793.44</x:v>
      </x:c>
      <x:c r="J8" s="17" t="n">
        <x:v>36295.57</x:v>
      </x:c>
      <x:c r="K8" s="17" t="n">
        <x:v>2991.74</x:v>
      </x:c>
      <x:c r="L8" s="17" t="n">
        <x:v>1795.04</x:v>
      </x:c>
      <x:c r="M8" s="17" t="n">
        <x:v>5609.51</x:v>
      </x:c>
      <x:c r="N8" s="16" t="n">
        <x:v>35</x:v>
      </x:c>
      <x:c r="O8" s="16" t="n">
        <x:v>3</x:v>
      </x:c>
      <x:c r="P8" s="16" t="n">
        <x:v>1</x:v>
      </x:c>
      <x:c r="Q8" s="16" t="n">
        <x:v>21</x:v>
      </x:c>
      <x:c r="R8" s="16" t="n">
        <x:v>16</x:v>
      </x:c>
      <x:c r="S8" s="16" t="n">
        <x:v>2</x:v>
      </x:c>
      <x:c r="T8" s="15" t="n">
        <x:f>YEAR(A8)</x:f>
        <x:v>2023</x:v>
      </x:c>
      <x:c r="U8" s="15" t="n">
        <x:f>ROUNDUP(MONTH(A8)/3,0)</x:f>
        <x:v>1</x:v>
      </x:c>
      <x:c r="V8" s="18" t="n">
        <x:f>I8-J8</x:f>
        <x:v>38497.87</x:v>
      </x:c>
      <x:c r="W8" s="19" t="n">
        <x:f>IF(I8=0,"",V8/I8)</x:f>
        <x:v>0.5147225478598123</x:v>
      </x:c>
      <x:c r="X8" s="18" t="n">
        <x:f>I8-J8-K8-L8-M8</x:f>
        <x:v>28101.58</x:v>
      </x:c>
      <x:c r="Y8" s="19" t="n">
        <x:f>IF(I8=0,"",X8/I8)</x:f>
        <x:v>0.3757225232587243</x:v>
      </x:c>
      <x:c r="Z8" s="18" t="n">
        <x:f>IF(E8=0,"",F8/E8)</x:f>
        <x:v>1156.8082089552238</x:v>
      </x:c>
      <x:c r="AA8" s="18" t="n">
        <x:f>IF(N8=0,"",M8/N8)</x:f>
        <x:v>160.2717142857143</x:v>
      </x:c>
      <x:c r="AB8" s="19" t="n">
        <x:f>IF(E8=0,"",O8/E8)</x:f>
        <x:v>0.04477611940298507</x:v>
      </x:c>
      <x:c r="AC8" s="19" t="n">
        <x:f>IF(E8=0,"",P8/E8)</x:f>
        <x:v>0.014925373134328358</x:v>
      </x:c>
      <x:c r="AD8" s="20" t="n">
        <x:f>IF(Q8=0,"",100*(R8-S8)/Q8)</x:f>
        <x:v>66.66666666666667</x:v>
      </x:c>
      <x:c r="AE8" s="19" t="n">
        <x:f>IF(F8=0,"",G8/F8)</x:f>
        <x:v>0.024999951616742674</x:v>
      </x:c>
      <x:c r="AF8" s="18" t="n">
        <x:f>ROUND(I8-(F8-G8-H8),2)</x:f>
        <x:v>0</x:v>
      </x:c>
    </x:row>
    <x:row r="9" ht="24" customHeight="1">
      <x:c r="A9" s="14" t="n">
        <x:v>44927</x:v>
      </x:c>
      <x:c r="B9" s="2" t="str">
        <x:v>E-commerce</x:v>
      </x:c>
      <x:c r="C9" s="2" t="str">
        <x:v>Centro-Oeste</x:v>
      </x:c>
      <x:c r="D9" s="2" t="str">
        <x:v>M-0004</x:v>
      </x:c>
      <x:c r="E9" s="16" t="n">
        <x:v>64</x:v>
      </x:c>
      <x:c r="F9" s="17" t="n">
        <x:v>74865.83</x:v>
      </x:c>
      <x:c r="G9" s="17" t="n">
        <x:v>1871.65</x:v>
      </x:c>
      <x:c r="H9" s="17" t="n">
        <x:v>748.66</x:v>
      </x:c>
      <x:c r="I9" s="17" t="n">
        <x:v>72245.52</x:v>
      </x:c>
      <x:c r="J9" s="17" t="n">
        <x:v>35882.34</x:v>
      </x:c>
      <x:c r="K9" s="17" t="n">
        <x:v>2889.82</x:v>
      </x:c>
      <x:c r="L9" s="17" t="n">
        <x:v>1733.89</x:v>
      </x:c>
      <x:c r="M9" s="17" t="n">
        <x:v>5418.41</x:v>
      </x:c>
      <x:c r="N9" s="16" t="n">
        <x:v>33</x:v>
      </x:c>
      <x:c r="O9" s="16" t="n">
        <x:v>3</x:v>
      </x:c>
      <x:c r="P9" s="16" t="n">
        <x:v>1</x:v>
      </x:c>
      <x:c r="Q9" s="16" t="n">
        <x:v>20</x:v>
      </x:c>
      <x:c r="R9" s="16" t="n">
        <x:v>15</x:v>
      </x:c>
      <x:c r="S9" s="16" t="n">
        <x:v>2</x:v>
      </x:c>
      <x:c r="T9" s="15" t="n">
        <x:f>YEAR(A9)</x:f>
        <x:v>2023</x:v>
      </x:c>
      <x:c r="U9" s="15" t="n">
        <x:f>ROUNDUP(MONTH(A9)/3,0)</x:f>
        <x:v>1</x:v>
      </x:c>
      <x:c r="V9" s="18" t="n">
        <x:f>I9-J9</x:f>
        <x:v>36363.18000000001</x:v>
      </x:c>
      <x:c r="W9" s="19" t="n">
        <x:f>IF(I9=0,"",V9/I9)</x:f>
        <x:v>0.5033278188045432</x:v>
      </x:c>
      <x:c r="X9" s="18" t="n">
        <x:f>I9-J9-K9-L9-M9</x:f>
        <x:v>26321.06000000001</x:v>
      </x:c>
      <x:c r="Y9" s="19" t="n">
        <x:f>IF(I9=0,"",X9/I9)</x:f>
        <x:v>0.36432791957203725</x:v>
      </x:c>
      <x:c r="Z9" s="18" t="n">
        <x:f>IF(E9=0,"",F9/E9)</x:f>
        <x:v>1169.77859375</x:v>
      </x:c>
      <x:c r="AA9" s="18" t="n">
        <x:f>IF(N9=0,"",M9/N9)</x:f>
        <x:v>164.19424242424242</x:v>
      </x:c>
      <x:c r="AB9" s="19" t="n">
        <x:f>IF(E9=0,"",O9/E9)</x:f>
        <x:v>0.046875</x:v>
      </x:c>
      <x:c r="AC9" s="19" t="n">
        <x:f>IF(E9=0,"",P9/E9)</x:f>
        <x:v>0.015625</x:v>
      </x:c>
      <x:c r="AD9" s="20" t="n">
        <x:f>IF(Q9=0,"",100*(R9-S9)/Q9)</x:f>
        <x:v>65</x:v>
      </x:c>
      <x:c r="AE9" s="19" t="n">
        <x:f>IF(F9=0,"",G9/F9)</x:f>
        <x:v>0.02500005676822123</x:v>
      </x:c>
      <x:c r="AF9" s="18" t="n">
        <x:f>ROUND(I9-(F9-G9-H9),2)</x:f>
        <x:v>0</x:v>
      </x:c>
    </x:row>
    <x:row r="10" ht="24" customHeight="1">
      <x:c r="A10" s="14" t="n">
        <x:v>44927</x:v>
      </x:c>
      <x:c r="B10" s="2" t="str">
        <x:v>Lojas</x:v>
      </x:c>
      <x:c r="C10" s="2" t="str">
        <x:v>Sudeste</x:v>
      </x:c>
      <x:c r="D10" s="2" t="str">
        <x:v>M-0005</x:v>
      </x:c>
      <x:c r="E10" s="16" t="n">
        <x:v>121</x:v>
      </x:c>
      <x:c r="F10" s="17" t="n">
        <x:v>140243.16</x:v>
      </x:c>
      <x:c r="G10" s="17" t="n">
        <x:v>3506.08</x:v>
      </x:c>
      <x:c r="H10" s="17" t="n">
        <x:v>1402.43</x:v>
      </x:c>
      <x:c r="I10" s="17" t="n">
        <x:v>135334.65</x:v>
      </x:c>
      <x:c r="J10" s="17" t="n">
        <x:v>70264.71</x:v>
      </x:c>
      <x:c r="K10" s="17" t="n">
        <x:v>2571.36</x:v>
      </x:c>
      <x:c r="L10" s="17" t="n">
        <x:v>3248.03</x:v>
      </x:c>
      <x:c r="M10" s="17" t="n">
        <x:v>2436.02</x:v>
      </x:c>
      <x:c r="N10" s="16" t="n">
        <x:v>34</x:v>
      </x:c>
      <x:c r="O10" s="16" t="n">
        <x:v>5</x:v>
      </x:c>
      <x:c r="P10" s="16" t="n">
        <x:v>2</x:v>
      </x:c>
      <x:c r="Q10" s="16" t="n">
        <x:v>39</x:v>
      </x:c>
      <x:c r="R10" s="16" t="n">
        <x:v>29</x:v>
      </x:c>
      <x:c r="S10" s="16" t="n">
        <x:v>4</x:v>
      </x:c>
      <x:c r="T10" s="15" t="n">
        <x:f>YEAR(A10)</x:f>
        <x:v>2023</x:v>
      </x:c>
      <x:c r="U10" s="15" t="n">
        <x:f>ROUNDUP(MONTH(A10)/3,0)</x:f>
        <x:v>1</x:v>
      </x:c>
      <x:c r="V10" s="18" t="n">
        <x:f>I10-J10</x:f>
        <x:v>65069.93999999999</x:v>
      </x:c>
      <x:c r="W10" s="19" t="n">
        <x:f>IF(I10=0,"",V10/I10)</x:f>
        <x:v>0.48080768672324486</x:v>
      </x:c>
      <x:c r="X10" s="18" t="n">
        <x:f>I10-J10-K10-L10-M10</x:f>
        <x:v>56814.52999999999</x:v>
      </x:c>
      <x:c r="Y10" s="19" t="n">
        <x:f>IF(I10=0,"",X10/I10)</x:f>
        <x:v>0.41980771369342584</x:v>
      </x:c>
      <x:c r="Z10" s="18" t="n">
        <x:f>IF(E10=0,"",F10/E10)</x:f>
        <x:v>1159.0343801652893</x:v>
      </x:c>
      <x:c r="AA10" s="18" t="n">
        <x:f>IF(N10=0,"",M10/N10)</x:f>
        <x:v>71.64764705882352</x:v>
      </x:c>
      <x:c r="AB10" s="19" t="n">
        <x:f>IF(E10=0,"",O10/E10)</x:f>
        <x:v>0.04132231404958678</x:v>
      </x:c>
      <x:c r="AC10" s="19" t="n">
        <x:f>IF(E10=0,"",P10/E10)</x:f>
        <x:v>0.01652892561983471</x:v>
      </x:c>
      <x:c r="AD10" s="20" t="n">
        <x:f>IF(Q10=0,"",100*(R10-S10)/Q10)</x:f>
        <x:v>64.1025641025641</x:v>
      </x:c>
      <x:c r="AE10" s="19" t="n">
        <x:f>IF(F10=0,"",G10/F10)</x:f>
        <x:v>0.02500000713047253</x:v>
      </x:c>
      <x:c r="AF10" s="18" t="n">
        <x:f>ROUND(I10-(F10-G10-H10),2)</x:f>
        <x:v>0</x:v>
      </x:c>
    </x:row>
    <x:row r="11" ht="24" customHeight="1">
      <x:c r="A11" s="14" t="n">
        <x:v>44927</x:v>
      </x:c>
      <x:c r="B11" s="2" t="str">
        <x:v>Lojas</x:v>
      </x:c>
      <x:c r="C11" s="2" t="str">
        <x:v>Nordeste</x:v>
      </x:c>
      <x:c r="D11" s="2" t="str">
        <x:v>M-0006</x:v>
      </x:c>
      <x:c r="E11" s="16" t="n">
        <x:v>74</x:v>
      </x:c>
      <x:c r="F11" s="17" t="n">
        <x:v>86026.82</x:v>
      </x:c>
      <x:c r="G11" s="17" t="n">
        <x:v>2150.67</x:v>
      </x:c>
      <x:c r="H11" s="17" t="n">
        <x:v>860.27</x:v>
      </x:c>
      <x:c r="I11" s="17" t="n">
        <x:v>83015.88</x:v>
      </x:c>
      <x:c r="J11" s="17" t="n">
        <x:v>41800.91</x:v>
      </x:c>
      <x:c r="K11" s="17" t="n">
        <x:v>1577.3</x:v>
      </x:c>
      <x:c r="L11" s="17" t="n">
        <x:v>1992.38</x:v>
      </x:c>
      <x:c r="M11" s="17" t="n">
        <x:v>1494.29</x:v>
      </x:c>
      <x:c r="N11" s="16" t="n">
        <x:v>21</x:v>
      </x:c>
      <x:c r="O11" s="16" t="n">
        <x:v>3</x:v>
      </x:c>
      <x:c r="P11" s="16" t="n">
        <x:v>1</x:v>
      </x:c>
      <x:c r="Q11" s="16" t="n">
        <x:v>24</x:v>
      </x:c>
      <x:c r="R11" s="16" t="n">
        <x:v>18</x:v>
      </x:c>
      <x:c r="S11" s="16" t="n">
        <x:v>2</x:v>
      </x:c>
      <x:c r="T11" s="15" t="n">
        <x:f>YEAR(A11)</x:f>
        <x:v>2023</x:v>
      </x:c>
      <x:c r="U11" s="15" t="n">
        <x:f>ROUNDUP(MONTH(A11)/3,0)</x:f>
        <x:v>1</x:v>
      </x:c>
      <x:c r="V11" s="18" t="n">
        <x:f>I11-J11</x:f>
        <x:v>41214.97</x:v>
      </x:c>
      <x:c r="W11" s="19" t="n">
        <x:f>IF(I11=0,"",V11/I11)</x:f>
        <x:v>0.49647091616688277</x:v>
      </x:c>
      <x:c r="X11" s="18" t="n">
        <x:f>I11-J11-K11-L11-M11</x:f>
        <x:v>36151</x:v>
      </x:c>
      <x:c r="Y11" s="19" t="n">
        <x:f>IF(I11=0,"",X11/I11)</x:f>
        <x:v>0.43547090026631047</x:v>
      </x:c>
      <x:c r="Z11" s="18" t="n">
        <x:f>IF(E11=0,"",F11/E11)</x:f>
        <x:v>1162.5245945945946</x:v>
      </x:c>
      <x:c r="AA11" s="18" t="n">
        <x:f>IF(N11=0,"",M11/N11)</x:f>
        <x:v>71.15666666666667</x:v>
      </x:c>
      <x:c r="AB11" s="19" t="n">
        <x:f>IF(E11=0,"",O11/E11)</x:f>
        <x:v>0.04054054054054054</x:v>
      </x:c>
      <x:c r="AC11" s="19" t="n">
        <x:f>IF(E11=0,"",P11/E11)</x:f>
        <x:v>0.013513513513513514</x:v>
      </x:c>
      <x:c r="AD11" s="20" t="n">
        <x:f>IF(Q11=0,"",100*(R11-S11)/Q11)</x:f>
        <x:v>66.66666666666667</x:v>
      </x:c>
      <x:c r="AE11" s="19" t="n">
        <x:f>IF(F11=0,"",G11/F11)</x:f>
        <x:v>0.024999994187859087</x:v>
      </x:c>
      <x:c r="AF11" s="18" t="n">
        <x:f>ROUND(I11-(F11-G11-H11),2)</x:f>
        <x:v>0</x:v>
      </x:c>
    </x:row>
    <x:row r="12" ht="24" customHeight="1">
      <x:c r="A12" s="14" t="n">
        <x:v>44927</x:v>
      </x:c>
      <x:c r="B12" s="2" t="str">
        <x:v>Lojas</x:v>
      </x:c>
      <x:c r="C12" s="2" t="str">
        <x:v>Sul</x:v>
      </x:c>
      <x:c r="D12" s="2" t="str">
        <x:v>M-0007</x:v>
      </x:c>
      <x:c r="E12" s="16" t="n">
        <x:v>59</x:v>
      </x:c>
      <x:c r="F12" s="17" t="n">
        <x:v>68518</x:v>
      </x:c>
      <x:c r="G12" s="17" t="n">
        <x:v>1712.95</x:v>
      </x:c>
      <x:c r="H12" s="17" t="n">
        <x:v>685.18</x:v>
      </x:c>
      <x:c r="I12" s="17" t="n">
        <x:v>66119.87</x:v>
      </x:c>
      <x:c r="J12" s="17" t="n">
        <x:v>33214.69</x:v>
      </x:c>
      <x:c r="K12" s="17" t="n">
        <x:v>1256.28</x:v>
      </x:c>
      <x:c r="L12" s="17" t="n">
        <x:v>1586.88</x:v>
      </x:c>
      <x:c r="M12" s="17" t="n">
        <x:v>1190.16</x:v>
      </x:c>
      <x:c r="N12" s="16" t="n">
        <x:v>17</x:v>
      </x:c>
      <x:c r="O12" s="16" t="n">
        <x:v>2</x:v>
      </x:c>
      <x:c r="P12" s="16" t="n">
        <x:v>1</x:v>
      </x:c>
      <x:c r="Q12" s="16" t="n">
        <x:v>19</x:v>
      </x:c>
      <x:c r="R12" s="16" t="n">
        <x:v>14</x:v>
      </x:c>
      <x:c r="S12" s="16" t="n">
        <x:v>2</x:v>
      </x:c>
      <x:c r="T12" s="15" t="n">
        <x:f>YEAR(A12)</x:f>
        <x:v>2023</x:v>
      </x:c>
      <x:c r="U12" s="15" t="n">
        <x:f>ROUNDUP(MONTH(A12)/3,0)</x:f>
        <x:v>1</x:v>
      </x:c>
      <x:c r="V12" s="18" t="n">
        <x:f>I12-J12</x:f>
        <x:v>32905.17999999999</x:v>
      </x:c>
      <x:c r="W12" s="19" t="n">
        <x:f>IF(I12=0,"",V12/I12)</x:f>
        <x:v>0.4976594781568687</x:v>
      </x:c>
      <x:c r="X12" s="18" t="n">
        <x:f>I12-J12-K12-L12-M12</x:f>
        <x:v>28871.859999999993</x:v>
      </x:c>
      <x:c r="Y12" s="19" t="n">
        <x:f>IF(I12=0,"",X12/I12)</x:f>
        <x:v>0.43665935822317853</x:v>
      </x:c>
      <x:c r="Z12" s="18" t="n">
        <x:f>IF(E12=0,"",F12/E12)</x:f>
        <x:v>1161.322033898305</x:v>
      </x:c>
      <x:c r="AA12" s="18" t="n">
        <x:f>IF(N12=0,"",M12/N12)</x:f>
        <x:v>70.00941176470589</x:v>
      </x:c>
      <x:c r="AB12" s="19" t="n">
        <x:f>IF(E12=0,"",O12/E12)</x:f>
        <x:v>0.03389830508474576</x:v>
      </x:c>
      <x:c r="AC12" s="19" t="n">
        <x:f>IF(E12=0,"",P12/E12)</x:f>
        <x:v>0.01694915254237288</x:v>
      </x:c>
      <x:c r="AD12" s="20" t="n">
        <x:f>IF(Q12=0,"",100*(R12-S12)/Q12)</x:f>
        <x:v>63.1578947368421</x:v>
      </x:c>
      <x:c r="AE12" s="19" t="n">
        <x:f>IF(F12=0,"",G12/F12)</x:f>
        <x:v>0.025</x:v>
      </x:c>
      <x:c r="AF12" s="18" t="n">
        <x:f>ROUND(I12-(F12-G12-H12),2)</x:f>
        <x:v>0</x:v>
      </x:c>
    </x:row>
    <x:row r="13" ht="24" customHeight="1">
      <x:c r="A13" s="14" t="n">
        <x:v>44927</x:v>
      </x:c>
      <x:c r="B13" s="2" t="str">
        <x:v>Lojas</x:v>
      </x:c>
      <x:c r="C13" s="2" t="str">
        <x:v>Centro-Oeste</x:v>
      </x:c>
      <x:c r="D13" s="2" t="str">
        <x:v>M-0008</x:v>
      </x:c>
      <x:c r="E13" s="16" t="n">
        <x:v>51</x:v>
      </x:c>
      <x:c r="F13" s="17" t="n">
        <x:v>58937.75</x:v>
      </x:c>
      <x:c r="G13" s="17" t="n">
        <x:v>1473.44</x:v>
      </x:c>
      <x:c r="H13" s="17" t="n">
        <x:v>589.38</x:v>
      </x:c>
      <x:c r="I13" s="17" t="n">
        <x:v>56874.93</x:v>
      </x:c>
      <x:c r="J13" s="17" t="n">
        <x:v>28669.54</x:v>
      </x:c>
      <x:c r="K13" s="17" t="n">
        <x:v>1080.62</x:v>
      </x:c>
      <x:c r="L13" s="17" t="n">
        <x:v>1365</x:v>
      </x:c>
      <x:c r="M13" s="17" t="n">
        <x:v>1023.75</x:v>
      </x:c>
      <x:c r="N13" s="16" t="n">
        <x:v>14</x:v>
      </x:c>
      <x:c r="O13" s="16" t="n">
        <x:v>2</x:v>
      </x:c>
      <x:c r="P13" s="16" t="n">
        <x:v>1</x:v>
      </x:c>
      <x:c r="Q13" s="16" t="n">
        <x:v>16</x:v>
      </x:c>
      <x:c r="R13" s="16" t="n">
        <x:v>12</x:v>
      </x:c>
      <x:c r="S13" s="16" t="n">
        <x:v>2</x:v>
      </x:c>
      <x:c r="T13" s="15" t="n">
        <x:f>YEAR(A13)</x:f>
        <x:v>2023</x:v>
      </x:c>
      <x:c r="U13" s="15" t="n">
        <x:f>ROUNDUP(MONTH(A13)/3,0)</x:f>
        <x:v>1</x:v>
      </x:c>
      <x:c r="V13" s="18" t="n">
        <x:f>I13-J13</x:f>
        <x:v>28205.39</x:v>
      </x:c>
      <x:c r="W13" s="19" t="n">
        <x:f>IF(I13=0,"",V13/I13)</x:f>
        <x:v>0.4959195554174748</x:v>
      </x:c>
      <x:c r="X13" s="18" t="n">
        <x:f>I13-J13-K13-L13-M13</x:f>
        <x:v>24736.02</x:v>
      </x:c>
      <x:c r="Y13" s="19" t="n">
        <x:f>IF(I13=0,"",X13/I13)</x:f>
        <x:v>0.43491956825265543</x:v>
      </x:c>
      <x:c r="Z13" s="18" t="n">
        <x:f>IF(E13=0,"",F13/E13)</x:f>
        <x:v>1155.6421568627452</x:v>
      </x:c>
      <x:c r="AA13" s="18" t="n">
        <x:f>IF(N13=0,"",M13/N13)</x:f>
        <x:v>73.125</x:v>
      </x:c>
      <x:c r="AB13" s="19" t="n">
        <x:f>IF(E13=0,"",O13/E13)</x:f>
        <x:v>0.0392156862745098</x:v>
      </x:c>
      <x:c r="AC13" s="19" t="n">
        <x:f>IF(E13=0,"",P13/E13)</x:f>
        <x:v>0.0196078431372549</x:v>
      </x:c>
      <x:c r="AD13" s="20" t="n">
        <x:f>IF(Q13=0,"",100*(R13-S13)/Q13)</x:f>
        <x:v>62.5</x:v>
      </x:c>
      <x:c r="AE13" s="19" t="n">
        <x:f>IF(F13=0,"",G13/F13)</x:f>
        <x:v>0.024999936373546666</x:v>
      </x:c>
      <x:c r="AF13" s="18" t="n">
        <x:f>ROUND(I13-(F13-G13-H13),2)</x:f>
        <x:v>0</x:v>
      </x:c>
    </x:row>
    <x:row r="14" ht="24" customHeight="1">
      <x:c r="A14" s="14" t="n">
        <x:v>44927</x:v>
      </x:c>
      <x:c r="B14" s="2" t="str">
        <x:v>B2B</x:v>
      </x:c>
      <x:c r="C14" s="2" t="str">
        <x:v>Sudeste</x:v>
      </x:c>
      <x:c r="D14" s="2" t="str">
        <x:v>M-0009</x:v>
      </x:c>
      <x:c r="E14" s="16" t="n">
        <x:v>71</x:v>
      </x:c>
      <x:c r="F14" s="17" t="n">
        <x:v>82838.59</x:v>
      </x:c>
      <x:c r="G14" s="17" t="n">
        <x:v>2070.96</x:v>
      </x:c>
      <x:c r="H14" s="17" t="n">
        <x:v>828.39</x:v>
      </x:c>
      <x:c r="I14" s="17" t="n">
        <x:v>79939.24</x:v>
      </x:c>
      <x:c r="J14" s="17" t="n">
        <x:v>41939.37</x:v>
      </x:c>
      <x:c r="K14" s="17" t="n">
        <x:v>1518.85</x:v>
      </x:c>
      <x:c r="L14" s="17" t="n">
        <x:v>1918.54</x:v>
      </x:c>
      <x:c r="M14" s="17" t="n">
        <x:v>1438.91</x:v>
      </x:c>
      <x:c r="N14" s="16" t="n">
        <x:v>20</x:v>
      </x:c>
      <x:c r="O14" s="16" t="n">
        <x:v>3</x:v>
      </x:c>
      <x:c r="P14" s="16" t="n">
        <x:v>1</x:v>
      </x:c>
      <x:c r="Q14" s="16" t="n">
        <x:v>23</x:v>
      </x:c>
      <x:c r="R14" s="16" t="n">
        <x:v>17</x:v>
      </x:c>
      <x:c r="S14" s="16" t="n">
        <x:v>2</x:v>
      </x:c>
      <x:c r="T14" s="15" t="n">
        <x:f>YEAR(A14)</x:f>
        <x:v>2023</x:v>
      </x:c>
      <x:c r="U14" s="15" t="n">
        <x:f>ROUNDUP(MONTH(A14)/3,0)</x:f>
        <x:v>1</x:v>
      </x:c>
      <x:c r="V14" s="18" t="n">
        <x:f>I14-J14</x:f>
        <x:v>37999.87</x:v>
      </x:c>
      <x:c r="W14" s="19" t="n">
        <x:f>IF(I14=0,"",V14/I14)</x:f>
        <x:v>0.47535941047225366</x:v>
      </x:c>
      <x:c r="X14" s="18" t="n">
        <x:f>I14-J14-K14-L14-M14</x:f>
        <x:v>33123.57</x:v>
      </x:c>
      <x:c r="Y14" s="19" t="n">
        <x:f>IF(I14=0,"",X14/I14)</x:f>
        <x:v>0.41435933091182753</x:v>
      </x:c>
      <x:c r="Z14" s="18" t="n">
        <x:f>IF(E14=0,"",F14/E14)</x:f>
        <x:v>1166.7407042253521</x:v>
      </x:c>
      <x:c r="AA14" s="18" t="n">
        <x:f>IF(N14=0,"",M14/N14)</x:f>
        <x:v>71.94550000000001</x:v>
      </x:c>
      <x:c r="AB14" s="19" t="n">
        <x:f>IF(E14=0,"",O14/E14)</x:f>
        <x:v>0.04225352112676056</x:v>
      </x:c>
      <x:c r="AC14" s="19" t="n">
        <x:f>IF(E14=0,"",P14/E14)</x:f>
        <x:v>0.014084507042253521</x:v>
      </x:c>
      <x:c r="AD14" s="20" t="n">
        <x:f>IF(Q14=0,"",100*(R14-S14)/Q14)</x:f>
        <x:v>65.21739130434783</x:v>
      </x:c>
      <x:c r="AE14" s="19" t="n">
        <x:f>IF(F14=0,"",G14/F14)</x:f>
        <x:v>0.024999942659574483</x:v>
      </x:c>
      <x:c r="AF14" s="18" t="n">
        <x:f>ROUND(I14-(F14-G14-H14),2)</x:f>
        <x:v>0</x:v>
      </x:c>
    </x:row>
    <x:row r="15" ht="24" customHeight="1">
      <x:c r="A15" s="14" t="n">
        <x:v>44927</x:v>
      </x:c>
      <x:c r="B15" s="2" t="str">
        <x:v>B2B</x:v>
      </x:c>
      <x:c r="C15" s="2" t="str">
        <x:v>Nordeste</x:v>
      </x:c>
      <x:c r="D15" s="2" t="str">
        <x:v>M-0010</x:v>
      </x:c>
      <x:c r="E15" s="16" t="n">
        <x:v>44</x:v>
      </x:c>
      <x:c r="F15" s="17" t="n">
        <x:v>50617.46</x:v>
      </x:c>
      <x:c r="G15" s="17" t="n">
        <x:v>1265.44</x:v>
      </x:c>
      <x:c r="H15" s="17" t="n">
        <x:v>506.17</x:v>
      </x:c>
      <x:c r="I15" s="17" t="n">
        <x:v>48845.85</x:v>
      </x:c>
      <x:c r="J15" s="17" t="n">
        <x:v>24250.11</x:v>
      </x:c>
      <x:c r="K15" s="17" t="n">
        <x:v>928.07</x:v>
      </x:c>
      <x:c r="L15" s="17" t="n">
        <x:v>1172.3</x:v>
      </x:c>
      <x:c r="M15" s="17" t="n">
        <x:v>879.23</x:v>
      </x:c>
      <x:c r="N15" s="16" t="n">
        <x:v>12</x:v>
      </x:c>
      <x:c r="O15" s="16" t="n">
        <x:v>2</x:v>
      </x:c>
      <x:c r="P15" s="16" t="n">
        <x:v>1</x:v>
      </x:c>
      <x:c r="Q15" s="16" t="n">
        <x:v>14</x:v>
      </x:c>
      <x:c r="R15" s="16" t="n">
        <x:v>10</x:v>
      </x:c>
      <x:c r="S15" s="16" t="n">
        <x:v>1</x:v>
      </x:c>
      <x:c r="T15" s="15" t="n">
        <x:f>YEAR(A15)</x:f>
        <x:v>2023</x:v>
      </x:c>
      <x:c r="U15" s="15" t="n">
        <x:f>ROUNDUP(MONTH(A15)/3,0)</x:f>
        <x:v>1</x:v>
      </x:c>
      <x:c r="V15" s="18" t="n">
        <x:f>I15-J15</x:f>
        <x:v>24595.739999999998</x:v>
      </x:c>
      <x:c r="W15" s="19" t="n">
        <x:f>IF(I15=0,"",V15/I15)</x:f>
        <x:v>0.5035379668897153</x:v>
      </x:c>
      <x:c r="X15" s="18" t="n">
        <x:f>I15-J15-K15-L15-M15</x:f>
        <x:v>21616.14</x:v>
      </x:c>
      <x:c r="Y15" s="19" t="n">
        <x:f>IF(I15=0,"",X15/I15)</x:f>
        <x:v>0.44253790240112517</x:v>
      </x:c>
      <x:c r="Z15" s="18" t="n">
        <x:f>IF(E15=0,"",F15/E15)</x:f>
        <x:v>1150.3968181818182</x:v>
      </x:c>
      <x:c r="AA15" s="18" t="n">
        <x:f>IF(N15=0,"",M15/N15)</x:f>
        <x:v>73.26916666666666</x:v>
      </x:c>
      <x:c r="AB15" s="19" t="n">
        <x:f>IF(E15=0,"",O15/E15)</x:f>
        <x:v>0.045454545454545456</x:v>
      </x:c>
      <x:c r="AC15" s="19" t="n">
        <x:f>IF(E15=0,"",P15/E15)</x:f>
        <x:v>0.022727272727272728</x:v>
      </x:c>
      <x:c r="AD15" s="20" t="n">
        <x:f>IF(Q15=0,"",100*(R15-S15)/Q15)</x:f>
        <x:v>64.28571428571429</x:v>
      </x:c>
      <x:c r="AE15" s="19" t="n">
        <x:f>IF(F15=0,"",G15/F15)</x:f>
        <x:v>0.02500006914610097</x:v>
      </x:c>
      <x:c r="AF15" s="18" t="n">
        <x:f>ROUND(I15-(F15-G15-H15),2)</x:f>
        <x:v>0</x:v>
      </x:c>
    </x:row>
    <x:row r="16" ht="24" customHeight="1">
      <x:c r="A16" s="14" t="n">
        <x:v>44927</x:v>
      </x:c>
      <x:c r="B16" s="2" t="str">
        <x:v>B2B</x:v>
      </x:c>
      <x:c r="C16" s="2" t="str">
        <x:v>Sul</x:v>
      </x:c>
      <x:c r="D16" s="2" t="str">
        <x:v>M-0011</x:v>
      </x:c>
      <x:c r="E16" s="16" t="n">
        <x:v>38</x:v>
      </x:c>
      <x:c r="F16" s="17" t="n">
        <x:v>44548.03</x:v>
      </x:c>
      <x:c r="G16" s="17" t="n">
        <x:v>1113.7</x:v>
      </x:c>
      <x:c r="H16" s="17" t="n">
        <x:v>445.48</x:v>
      </x:c>
      <x:c r="I16" s="17" t="n">
        <x:v>42988.85</x:v>
      </x:c>
      <x:c r="J16" s="17" t="n">
        <x:v>22556.62</x:v>
      </x:c>
      <x:c r="K16" s="17" t="n">
        <x:v>816.79</x:v>
      </x:c>
      <x:c r="L16" s="17" t="n">
        <x:v>1031.73</x:v>
      </x:c>
      <x:c r="M16" s="17" t="n">
        <x:v>773.8</x:v>
      </x:c>
      <x:c r="N16" s="16" t="n">
        <x:v>11</x:v>
      </x:c>
      <x:c r="O16" s="16" t="n">
        <x:v>2</x:v>
      </x:c>
      <x:c r="P16" s="16" t="n">
        <x:v>1</x:v>
      </x:c>
      <x:c r="Q16" s="16" t="n">
        <x:v>12</x:v>
      </x:c>
      <x:c r="R16" s="16" t="n">
        <x:v>9</x:v>
      </x:c>
      <x:c r="S16" s="16" t="n">
        <x:v>1</x:v>
      </x:c>
      <x:c r="T16" s="15" t="n">
        <x:f>YEAR(A16)</x:f>
        <x:v>2023</x:v>
      </x:c>
      <x:c r="U16" s="15" t="n">
        <x:f>ROUNDUP(MONTH(A16)/3,0)</x:f>
        <x:v>1</x:v>
      </x:c>
      <x:c r="V16" s="18" t="n">
        <x:f>I16-J16</x:f>
        <x:v>20432.23</x:v>
      </x:c>
      <x:c r="W16" s="19" t="n">
        <x:f>IF(I16=0,"",V16/I16)</x:f>
        <x:v>0.4752913836960049</x:v>
      </x:c>
      <x:c r="X16" s="18" t="n">
        <x:f>I16-J16-K16-L16-M16</x:f>
        <x:v>17809.91</x:v>
      </x:c>
      <x:c r="Y16" s="19" t="n">
        <x:f>IF(I16=0,"",X16/I16)</x:f>
        <x:v>0.414291380206728</x:v>
      </x:c>
      <x:c r="Z16" s="18" t="n">
        <x:f>IF(E16=0,"",F16/E16)</x:f>
        <x:v>1172.3165789473685</x:v>
      </x:c>
      <x:c r="AA16" s="18" t="n">
        <x:f>IF(N16=0,"",M16/N16)</x:f>
        <x:v>70.34545454545454</x:v>
      </x:c>
      <x:c r="AB16" s="19" t="n">
        <x:f>IF(E16=0,"",O16/E16)</x:f>
        <x:v>0.05263157894736842</x:v>
      </x:c>
      <x:c r="AC16" s="19" t="n">
        <x:f>IF(E16=0,"",P16/E16)</x:f>
        <x:v>0.02631578947368421</x:v>
      </x:c>
      <x:c r="AD16" s="20" t="n">
        <x:f>IF(Q16=0,"",100*(R16-S16)/Q16)</x:f>
        <x:v>66.66666666666667</x:v>
      </x:c>
      <x:c r="AE16" s="19" t="n">
        <x:f>IF(F16=0,"",G16/F16)</x:f>
        <x:v>0.02499998316423869</x:v>
      </x:c>
      <x:c r="AF16" s="18" t="n">
        <x:f>ROUND(I16-(F16-G16-H16),2)</x:f>
        <x:v>0</x:v>
      </x:c>
    </x:row>
    <x:row r="17" ht="24" customHeight="1">
      <x:c r="A17" s="14" t="n">
        <x:v>44927</x:v>
      </x:c>
      <x:c r="B17" s="2" t="str">
        <x:v>B2B</x:v>
      </x:c>
      <x:c r="C17" s="2" t="str">
        <x:v>Centro-Oeste</x:v>
      </x:c>
      <x:c r="D17" s="2" t="str">
        <x:v>M-0012</x:v>
      </x:c>
      <x:c r="E17" s="16" t="n">
        <x:v>34</x:v>
      </x:c>
      <x:c r="F17" s="17" t="n">
        <x:v>38967.42</x:v>
      </x:c>
      <x:c r="G17" s="17" t="n">
        <x:v>974.19</x:v>
      </x:c>
      <x:c r="H17" s="17" t="n">
        <x:v>389.67</x:v>
      </x:c>
      <x:c r="I17" s="17" t="n">
        <x:v>37603.56</x:v>
      </x:c>
      <x:c r="J17" s="17" t="n">
        <x:v>19625.48</x:v>
      </x:c>
      <x:c r="K17" s="17" t="n">
        <x:v>714.47</x:v>
      </x:c>
      <x:c r="L17" s="17" t="n">
        <x:v>902.49</x:v>
      </x:c>
      <x:c r="M17" s="17" t="n">
        <x:v>676.86</x:v>
      </x:c>
      <x:c r="N17" s="16" t="n">
        <x:v>10</x:v>
      </x:c>
      <x:c r="O17" s="16" t="n">
        <x:v>1</x:v>
      </x:c>
      <x:c r="P17" s="16" t="n">
        <x:v>1</x:v>
      </x:c>
      <x:c r="Q17" s="16" t="n">
        <x:v>11</x:v>
      </x:c>
      <x:c r="R17" s="16" t="n">
        <x:v>8</x:v>
      </x:c>
      <x:c r="S17" s="16" t="n">
        <x:v>1</x:v>
      </x:c>
      <x:c r="T17" s="15" t="n">
        <x:f>YEAR(A17)</x:f>
        <x:v>2023</x:v>
      </x:c>
      <x:c r="U17" s="15" t="n">
        <x:f>ROUNDUP(MONTH(A17)/3,0)</x:f>
        <x:v>1</x:v>
      </x:c>
      <x:c r="V17" s="18" t="n">
        <x:f>I17-J17</x:f>
        <x:v>17978.079999999998</x:v>
      </x:c>
      <x:c r="W17" s="19" t="n">
        <x:f>IF(I17=0,"",V17/I17)</x:f>
        <x:v>0.4780951590753641</x:v>
      </x:c>
      <x:c r="X17" s="18" t="n">
        <x:f>I17-J17-K17-L17-M17</x:f>
        <x:v>15684.259999999997</x:v>
      </x:c>
      <x:c r="Y17" s="19" t="n">
        <x:f>IF(I17=0,"",X17/I17)</x:f>
        <x:v>0.41709508355059993</x:v>
      </x:c>
      <x:c r="Z17" s="18" t="n">
        <x:f>IF(E17=0,"",F17/E17)</x:f>
        <x:v>1146.100588235294</x:v>
      </x:c>
      <x:c r="AA17" s="18" t="n">
        <x:f>IF(N17=0,"",M17/N17)</x:f>
        <x:v>67.686</x:v>
      </x:c>
      <x:c r="AB17" s="19" t="n">
        <x:f>IF(E17=0,"",O17/E17)</x:f>
        <x:v>0.029411764705882353</x:v>
      </x:c>
      <x:c r="AC17" s="19" t="n">
        <x:f>IF(E17=0,"",P17/E17)</x:f>
        <x:v>0.029411764705882353</x:v>
      </x:c>
      <x:c r="AD17" s="20" t="n">
        <x:f>IF(Q17=0,"",100*(R17-S17)/Q17)</x:f>
        <x:v>63.63636363636363</x:v>
      </x:c>
      <x:c r="AE17" s="19" t="n">
        <x:f>IF(F17=0,"",G17/F17)</x:f>
        <x:v>0.02500011548108651</x:v>
      </x:c>
      <x:c r="AF17" s="18" t="n">
        <x:f>ROUND(I17-(F17-G17-H17),2)</x:f>
        <x:v>0</x:v>
      </x:c>
    </x:row>
    <x:row r="18" ht="24" customHeight="1">
      <x:c r="A18" s="14" t="n">
        <x:v>44958</x:v>
      </x:c>
      <x:c r="B18" s="2" t="str">
        <x:v>E-commerce</x:v>
      </x:c>
      <x:c r="C18" s="2" t="str">
        <x:v>Sudeste</x:v>
      </x:c>
      <x:c r="D18" s="2" t="str">
        <x:v>M-0013</x:v>
      </x:c>
      <x:c r="E18" s="16" t="n">
        <x:v>131</x:v>
      </x:c>
      <x:c r="F18" s="17" t="n">
        <x:v>152130.73</x:v>
      </x:c>
      <x:c r="G18" s="17" t="n">
        <x:v>3887.79</x:v>
      </x:c>
      <x:c r="H18" s="17" t="n">
        <x:v>1597.37</x:v>
      </x:c>
      <x:c r="I18" s="17" t="n">
        <x:v>146645.57</x:v>
      </x:c>
      <x:c r="J18" s="17" t="n">
        <x:v>74663.99</x:v>
      </x:c>
      <x:c r="K18" s="17" t="n">
        <x:v>6012.47</x:v>
      </x:c>
      <x:c r="L18" s="17" t="n">
        <x:v>3519.49</x:v>
      </x:c>
      <x:c r="M18" s="17" t="n">
        <x:v>10998.42</x:v>
      </x:c>
      <x:c r="N18" s="16" t="n">
        <x:v>68</x:v>
      </x:c>
      <x:c r="O18" s="16" t="n">
        <x:v>6</x:v>
      </x:c>
      <x:c r="P18" s="16" t="n">
        <x:v>2</x:v>
      </x:c>
      <x:c r="Q18" s="16" t="n">
        <x:v>42</x:v>
      </x:c>
      <x:c r="R18" s="16" t="n">
        <x:v>31</x:v>
      </x:c>
      <x:c r="S18" s="16" t="n">
        <x:v>4</x:v>
      </x:c>
      <x:c r="T18" s="15" t="n">
        <x:f>YEAR(A18)</x:f>
        <x:v>2023</x:v>
      </x:c>
      <x:c r="U18" s="15" t="n">
        <x:f>ROUNDUP(MONTH(A18)/3,0)</x:f>
        <x:v>1</x:v>
      </x:c>
      <x:c r="V18" s="18" t="n">
        <x:f>I18-J18</x:f>
        <x:v>71981.58</x:v>
      </x:c>
      <x:c r="W18" s="19" t="n">
        <x:f>IF(I18=0,"",V18/I18)</x:f>
        <x:v>0.49085410490067993</x:v>
      </x:c>
      <x:c r="X18" s="18" t="n">
        <x:f>I18-J18-K18-L18-M18</x:f>
        <x:v>51451.200000000004</x:v>
      </x:c>
      <x:c r="Y18" s="19" t="n">
        <x:f>IF(I18=0,"",X18/I18)</x:f>
        <x:v>0.3508541035368474</x:v>
      </x:c>
      <x:c r="Z18" s="18" t="n">
        <x:f>IF(E18=0,"",F18/E18)</x:f>
        <x:v>1161.3032824427482</x:v>
      </x:c>
      <x:c r="AA18" s="18" t="n">
        <x:f>IF(N18=0,"",M18/N18)</x:f>
        <x:v>161.7414705882353</x:v>
      </x:c>
      <x:c r="AB18" s="19" t="n">
        <x:f>IF(E18=0,"",O18/E18)</x:f>
        <x:v>0.04580152671755725</x:v>
      </x:c>
      <x:c r="AC18" s="19" t="n">
        <x:f>IF(E18=0,"",P18/E18)</x:f>
        <x:v>0.015267175572519083</x:v>
      </x:c>
      <x:c r="AD18" s="20" t="n">
        <x:f>IF(Q18=0,"",100*(R18-S18)/Q18)</x:f>
        <x:v>64.28571428571429</x:v>
      </x:c>
      <x:c r="AE18" s="19" t="n">
        <x:f>IF(F18=0,"",G18/F18)</x:f>
        <x:v>0.0255555863039637</x:v>
      </x:c>
      <x:c r="AF18" s="18" t="n">
        <x:f>ROUND(I18-(F18-G18-H18),2)</x:f>
        <x:v>0</x:v>
      </x:c>
    </x:row>
    <x:row r="19" ht="24" customHeight="1">
      <x:c r="A19" s="14" t="n">
        <x:v>44958</x:v>
      </x:c>
      <x:c r="B19" s="2" t="str">
        <x:v>E-commerce</x:v>
      </x:c>
      <x:c r="C19" s="2" t="str">
        <x:v>Nordeste</x:v>
      </x:c>
      <x:c r="D19" s="2" t="str">
        <x:v>M-0014</x:v>
      </x:c>
      <x:c r="E19" s="16" t="n">
        <x:v>92</x:v>
      </x:c>
      <x:c r="F19" s="17" t="n">
        <x:v>106687.79</x:v>
      </x:c>
      <x:c r="G19" s="17" t="n">
        <x:v>2726.47</x:v>
      </x:c>
      <x:c r="H19" s="17" t="n">
        <x:v>1120.22</x:v>
      </x:c>
      <x:c r="I19" s="17" t="n">
        <x:v>102841.1</x:v>
      </x:c>
      <x:c r="J19" s="17" t="n">
        <x:v>52782.6</x:v>
      </x:c>
      <x:c r="K19" s="17" t="n">
        <x:v>4216.49</x:v>
      </x:c>
      <x:c r="L19" s="17" t="n">
        <x:v>2468.19</x:v>
      </x:c>
      <x:c r="M19" s="17" t="n">
        <x:v>7713.08</x:v>
      </x:c>
      <x:c r="N19" s="16" t="n">
        <x:v>48</x:v>
      </x:c>
      <x:c r="O19" s="16" t="n">
        <x:v>4</x:v>
      </x:c>
      <x:c r="P19" s="16" t="n">
        <x:v>2</x:v>
      </x:c>
      <x:c r="Q19" s="16" t="n">
        <x:v>29</x:v>
      </x:c>
      <x:c r="R19" s="16" t="n">
        <x:v>21</x:v>
      </x:c>
      <x:c r="S19" s="16" t="n">
        <x:v>3</x:v>
      </x:c>
      <x:c r="T19" s="15" t="n">
        <x:f>YEAR(A19)</x:f>
        <x:v>2023</x:v>
      </x:c>
      <x:c r="U19" s="15" t="n">
        <x:f>ROUNDUP(MONTH(A19)/3,0)</x:f>
        <x:v>1</x:v>
      </x:c>
      <x:c r="V19" s="18" t="n">
        <x:f>I19-J19</x:f>
        <x:v>50058.50000000001</x:v>
      </x:c>
      <x:c r="W19" s="19" t="n">
        <x:f>IF(I19=0,"",V19/I19)</x:f>
        <x:v>0.48675578149202997</x:v>
      </x:c>
      <x:c r="X19" s="18" t="n">
        <x:f>I19-J19-K19-L19-M19</x:f>
        <x:v>35660.740000000005</x:v>
      </x:c>
      <x:c r="Y19" s="19" t="n">
        <x:f>IF(I19=0,"",X19/I19)</x:f>
        <x:v>0.34675572314959685</x:v>
      </x:c>
      <x:c r="Z19" s="18" t="n">
        <x:f>IF(E19=0,"",F19/E19)</x:f>
        <x:v>1159.6498913043476</x:v>
      </x:c>
      <x:c r="AA19" s="18" t="n">
        <x:f>IF(N19=0,"",M19/N19)</x:f>
        <x:v>160.68916666666667</x:v>
      </x:c>
      <x:c r="AB19" s="19" t="n">
        <x:f>IF(E19=0,"",O19/E19)</x:f>
        <x:v>0.043478260869565216</x:v>
      </x:c>
      <x:c r="AC19" s="19" t="n">
        <x:f>IF(E19=0,"",P19/E19)</x:f>
        <x:v>0.021739130434782608</x:v>
      </x:c>
      <x:c r="AD19" s="20" t="n">
        <x:f>IF(Q19=0,"",100*(R19-S19)/Q19)</x:f>
        <x:v>62.06896551724138</x:v>
      </x:c>
      <x:c r="AE19" s="19" t="n">
        <x:f>IF(F19=0,"",G19/F19)</x:f>
        <x:v>0.025555595443489832</x:v>
      </x:c>
      <x:c r="AF19" s="18" t="n">
        <x:f>ROUND(I19-(F19-G19-H19),2)</x:f>
        <x:v>0</x:v>
      </x:c>
    </x:row>
    <x:row r="20" ht="24" customHeight="1">
      <x:c r="A20" s="14" t="n">
        <x:v>44958</x:v>
      </x:c>
      <x:c r="B20" s="2" t="str">
        <x:v>E-commerce</x:v>
      </x:c>
      <x:c r="C20" s="2" t="str">
        <x:v>Sul</x:v>
      </x:c>
      <x:c r="D20" s="2" t="str">
        <x:v>M-0015</x:v>
      </x:c>
      <x:c r="E20" s="16" t="n">
        <x:v>69</x:v>
      </x:c>
      <x:c r="F20" s="17" t="n">
        <x:v>79941.16</x:v>
      </x:c>
      <x:c r="G20" s="17" t="n">
        <x:v>2042.94</x:v>
      </x:c>
      <x:c r="H20" s="17" t="n">
        <x:v>839.38</x:v>
      </x:c>
      <x:c r="I20" s="17" t="n">
        <x:v>77058.84</x:v>
      </x:c>
      <x:c r="J20" s="17" t="n">
        <x:v>41125.9</x:v>
      </x:c>
      <x:c r="K20" s="17" t="n">
        <x:v>3159.41</x:v>
      </x:c>
      <x:c r="L20" s="17" t="n">
        <x:v>1849.41</x:v>
      </x:c>
      <x:c r="M20" s="17" t="n">
        <x:v>5779.41</x:v>
      </x:c>
      <x:c r="N20" s="16" t="n">
        <x:v>36</x:v>
      </x:c>
      <x:c r="O20" s="16" t="n">
        <x:v>3</x:v>
      </x:c>
      <x:c r="P20" s="16" t="n">
        <x:v>1</x:v>
      </x:c>
      <x:c r="Q20" s="16" t="n">
        <x:v>22</x:v>
      </x:c>
      <x:c r="R20" s="16" t="n">
        <x:v>16</x:v>
      </x:c>
      <x:c r="S20" s="16" t="n">
        <x:v>2</x:v>
      </x:c>
      <x:c r="T20" s="15" t="n">
        <x:f>YEAR(A20)</x:f>
        <x:v>2023</x:v>
      </x:c>
      <x:c r="U20" s="15" t="n">
        <x:f>ROUNDUP(MONTH(A20)/3,0)</x:f>
        <x:v>1</x:v>
      </x:c>
      <x:c r="V20" s="18" t="n">
        <x:f>I20-J20</x:f>
        <x:v>35932.939999999995</x:v>
      </x:c>
      <x:c r="W20" s="19" t="n">
        <x:f>IF(I20=0,"",V20/I20)</x:f>
        <x:v>0.4663052285759816</x:v>
      </x:c>
      <x:c r="X20" s="18" t="n">
        <x:f>I20-J20-K20-L20-M20</x:f>
        <x:v>25144.71</x:v>
      </x:c>
      <x:c r="Y20" s="19" t="n">
        <x:f>IF(I20=0,"",X20/I20)</x:f>
        <x:v>0.3263053272019148</x:v>
      </x:c>
      <x:c r="Z20" s="18" t="n">
        <x:f>IF(E20=0,"",F20/E20)</x:f>
        <x:v>1158.567536231884</x:v>
      </x:c>
      <x:c r="AA20" s="18" t="n">
        <x:f>IF(N20=0,"",M20/N20)</x:f>
        <x:v>160.53916666666666</x:v>
      </x:c>
      <x:c r="AB20" s="19" t="n">
        <x:f>IF(E20=0,"",O20/E20)</x:f>
        <x:v>0.043478260869565216</x:v>
      </x:c>
      <x:c r="AC20" s="19" t="n">
        <x:f>IF(E20=0,"",P20/E20)</x:f>
        <x:v>0.014492753623188406</x:v>
      </x:c>
      <x:c r="AD20" s="20" t="n">
        <x:f>IF(Q20=0,"",100*(R20-S20)/Q20)</x:f>
        <x:v>63.63636363636363</x:v>
      </x:c>
      <x:c r="AE20" s="19" t="n">
        <x:f>IF(F20=0,"",G20/F20)</x:f>
        <x:v>0.02555554610415961</x:v>
      </x:c>
      <x:c r="AF20" s="18" t="n">
        <x:f>ROUND(I20-(F20-G20-H20),2)</x:f>
        <x:v>0</x:v>
      </x:c>
    </x:row>
    <x:row r="21" ht="24" customHeight="1">
      <x:c r="A21" s="14" t="n">
        <x:v>44958</x:v>
      </x:c>
      <x:c r="B21" s="2" t="str">
        <x:v>E-commerce</x:v>
      </x:c>
      <x:c r="C21" s="2" t="str">
        <x:v>Centro-Oeste</x:v>
      </x:c>
      <x:c r="D21" s="2" t="str">
        <x:v>M-0016</x:v>
      </x:c>
      <x:c r="E21" s="16" t="n">
        <x:v>49</x:v>
      </x:c>
      <x:c r="F21" s="17" t="n">
        <x:v>57358.64</x:v>
      </x:c>
      <x:c r="G21" s="17" t="n">
        <x:v>1465.83</x:v>
      </x:c>
      <x:c r="H21" s="17" t="n">
        <x:v>602.27</x:v>
      </x:c>
      <x:c r="I21" s="17" t="n">
        <x:v>55290.54</x:v>
      </x:c>
      <x:c r="J21" s="17" t="n">
        <x:v>28821.41</x:v>
      </x:c>
      <x:c r="K21" s="17" t="n">
        <x:v>2266.91</x:v>
      </x:c>
      <x:c r="L21" s="17" t="n">
        <x:v>1326.97</x:v>
      </x:c>
      <x:c r="M21" s="17" t="n">
        <x:v>4146.79</x:v>
      </x:c>
      <x:c r="N21" s="16" t="n">
        <x:v>25</x:v>
      </x:c>
      <x:c r="O21" s="16" t="n">
        <x:v>2</x:v>
      </x:c>
      <x:c r="P21" s="16" t="n">
        <x:v>1</x:v>
      </x:c>
      <x:c r="Q21" s="16" t="n">
        <x:v>16</x:v>
      </x:c>
      <x:c r="R21" s="16" t="n">
        <x:v>12</x:v>
      </x:c>
      <x:c r="S21" s="16" t="n">
        <x:v>2</x:v>
      </x:c>
      <x:c r="T21" s="15" t="n">
        <x:f>YEAR(A21)</x:f>
        <x:v>2023</x:v>
      </x:c>
      <x:c r="U21" s="15" t="n">
        <x:f>ROUNDUP(MONTH(A21)/3,0)</x:f>
        <x:v>1</x:v>
      </x:c>
      <x:c r="V21" s="18" t="n">
        <x:f>I21-J21</x:f>
        <x:v>26469.13</x:v>
      </x:c>
      <x:c r="W21" s="19" t="n">
        <x:f>IF(I21=0,"",V21/I21)</x:f>
        <x:v>0.4787280066354932</x:v>
      </x:c>
      <x:c r="X21" s="18" t="n">
        <x:f>I21-J21-K21-L21-M21</x:f>
        <x:v>18728.46</x:v>
      </x:c>
      <x:c r="Y21" s="19" t="n">
        <x:f>IF(I21=0,"",X21/I21)</x:f>
        <x:v>0.3387281079186421</x:v>
      </x:c>
      <x:c r="Z21" s="18" t="n">
        <x:f>IF(E21=0,"",F21/E21)</x:f>
        <x:v>1170.5844897959184</x:v>
      </x:c>
      <x:c r="AA21" s="18" t="n">
        <x:f>IF(N21=0,"",M21/N21)</x:f>
        <x:v>165.8716</x:v>
      </x:c>
      <x:c r="AB21" s="19" t="n">
        <x:f>IF(E21=0,"",O21/E21)</x:f>
        <x:v>0.04081632653061224</x:v>
      </x:c>
      <x:c r="AC21" s="19" t="n">
        <x:f>IF(E21=0,"",P21/E21)</x:f>
        <x:v>0.02040816326530612</x:v>
      </x:c>
      <x:c r="AD21" s="20" t="n">
        <x:f>IF(Q21=0,"",100*(R21-S21)/Q21)</x:f>
        <x:v>62.5</x:v>
      </x:c>
      <x:c r="AE21" s="19" t="n">
        <x:f>IF(F21=0,"",G21/F21)</x:f>
        <x:v>0.025555522236928908</x:v>
      </x:c>
      <x:c r="AF21" s="18" t="n">
        <x:f>ROUND(I21-(F21-G21-H21),2)</x:f>
        <x:v>0</x:v>
      </x:c>
    </x:row>
    <x:row r="22" ht="24" customHeight="1">
      <x:c r="A22" s="14" t="n">
        <x:v>44958</x:v>
      </x:c>
      <x:c r="B22" s="2" t="str">
        <x:v>Lojas</x:v>
      </x:c>
      <x:c r="C22" s="2" t="str">
        <x:v>Sudeste</x:v>
      </x:c>
      <x:c r="D22" s="2" t="str">
        <x:v>M-0017</x:v>
      </x:c>
      <x:c r="E22" s="16" t="n">
        <x:v>96</x:v>
      </x:c>
      <x:c r="F22" s="17" t="n">
        <x:v>111605.93</x:v>
      </x:c>
      <x:c r="G22" s="17" t="n">
        <x:v>2852.15</x:v>
      </x:c>
      <x:c r="H22" s="17" t="n">
        <x:v>1171.86</x:v>
      </x:c>
      <x:c r="I22" s="17" t="n">
        <x:v>107581.92</x:v>
      </x:c>
      <x:c r="J22" s="17" t="n">
        <x:v>53242.07</x:v>
      </x:c>
      <x:c r="K22" s="17" t="n">
        <x:v>2151.64</x:v>
      </x:c>
      <x:c r="L22" s="17" t="n">
        <x:v>2581.97</x:v>
      </x:c>
      <x:c r="M22" s="17" t="n">
        <x:v>1936.47</x:v>
      </x:c>
      <x:c r="N22" s="16" t="n">
        <x:v>27</x:v>
      </x:c>
      <x:c r="O22" s="16" t="n">
        <x:v>4</x:v>
      </x:c>
      <x:c r="P22" s="16" t="n">
        <x:v>2</x:v>
      </x:c>
      <x:c r="Q22" s="16" t="n">
        <x:v>31</x:v>
      </x:c>
      <x:c r="R22" s="16" t="n">
        <x:v>23</x:v>
      </x:c>
      <x:c r="S22" s="16" t="n">
        <x:v>3</x:v>
      </x:c>
      <x:c r="T22" s="15" t="n">
        <x:f>YEAR(A22)</x:f>
        <x:v>2023</x:v>
      </x:c>
      <x:c r="U22" s="15" t="n">
        <x:f>ROUNDUP(MONTH(A22)/3,0)</x:f>
        <x:v>1</x:v>
      </x:c>
      <x:c r="V22" s="18" t="n">
        <x:f>I22-J22</x:f>
        <x:v>54339.85</x:v>
      </x:c>
      <x:c r="W22" s="19" t="n">
        <x:f>IF(I22=0,"",V22/I22)</x:f>
        <x:v>0.5051020654771731</x:v>
      </x:c>
      <x:c r="X22" s="18" t="n">
        <x:f>I22-J22-K22-L22-M22</x:f>
        <x:v>47669.77</x:v>
      </x:c>
      <x:c r="Y22" s="19" t="n">
        <x:f>IF(I22=0,"",X22/I22)</x:f>
        <x:v>0.44310205655374063</x:v>
      </x:c>
      <x:c r="Z22" s="18" t="n">
        <x:f>IF(E22=0,"",F22/E22)</x:f>
        <x:v>1162.5617708333332</x:v>
      </x:c>
      <x:c r="AA22" s="18" t="n">
        <x:f>IF(N22=0,"",M22/N22)</x:f>
        <x:v>71.72111111111111</x:v>
      </x:c>
      <x:c r="AB22" s="19" t="n">
        <x:f>IF(E22=0,"",O22/E22)</x:f>
        <x:v>0.041666666666666664</x:v>
      </x:c>
      <x:c r="AC22" s="19" t="n">
        <x:f>IF(E22=0,"",P22/E22)</x:f>
        <x:v>0.020833333333333332</x:v>
      </x:c>
      <x:c r="AD22" s="20" t="n">
        <x:f>IF(Q22=0,"",100*(R22-S22)/Q22)</x:f>
        <x:v>64.51612903225806</x:v>
      </x:c>
      <x:c r="AE22" s="19" t="n">
        <x:f>IF(F22=0,"",G22/F22)</x:f>
        <x:v>0.025555541717182953</x:v>
      </x:c>
      <x:c r="AF22" s="18" t="n">
        <x:f>ROUND(I22-(F22-G22-H22),2)</x:f>
        <x:v>0</x:v>
      </x:c>
    </x:row>
    <x:row r="23" ht="24" customHeight="1">
      <x:c r="A23" s="14" t="n">
        <x:v>44958</x:v>
      </x:c>
      <x:c r="B23" s="2" t="str">
        <x:v>Lojas</x:v>
      </x:c>
      <x:c r="C23" s="2" t="str">
        <x:v>Nordeste</x:v>
      </x:c>
      <x:c r="D23" s="2" t="str">
        <x:v>M-0018</x:v>
      </x:c>
      <x:c r="E23" s="16" t="n">
        <x:v>74</x:v>
      </x:c>
      <x:c r="F23" s="17" t="n">
        <x:v>86236.96</x:v>
      </x:c>
      <x:c r="G23" s="17" t="n">
        <x:v>2203.83</x:v>
      </x:c>
      <x:c r="H23" s="17" t="n">
        <x:v>905.49</x:v>
      </x:c>
      <x:c r="I23" s="17" t="n">
        <x:v>83127.64</x:v>
      </x:c>
      <x:c r="J23" s="17" t="n">
        <x:v>43543.6</x:v>
      </x:c>
      <x:c r="K23" s="17" t="n">
        <x:v>1662.55</x:v>
      </x:c>
      <x:c r="L23" s="17" t="n">
        <x:v>1995.06</x:v>
      </x:c>
      <x:c r="M23" s="17" t="n">
        <x:v>1496.3</x:v>
      </x:c>
      <x:c r="N23" s="16" t="n">
        <x:v>21</x:v>
      </x:c>
      <x:c r="O23" s="16" t="n">
        <x:v>3</x:v>
      </x:c>
      <x:c r="P23" s="16" t="n">
        <x:v>1</x:v>
      </x:c>
      <x:c r="Q23" s="16" t="n">
        <x:v>24</x:v>
      </x:c>
      <x:c r="R23" s="16" t="n">
        <x:v>18</x:v>
      </x:c>
      <x:c r="S23" s="16" t="n">
        <x:v>2</x:v>
      </x:c>
      <x:c r="T23" s="15" t="n">
        <x:f>YEAR(A23)</x:f>
        <x:v>2023</x:v>
      </x:c>
      <x:c r="U23" s="15" t="n">
        <x:f>ROUNDUP(MONTH(A23)/3,0)</x:f>
        <x:v>1</x:v>
      </x:c>
      <x:c r="V23" s="18" t="n">
        <x:f>I23-J23</x:f>
        <x:v>39584.04</x:v>
      </x:c>
      <x:c r="W23" s="19" t="n">
        <x:f>IF(I23=0,"",V23/I23)</x:f>
        <x:v>0.4761838541308282</x:v>
      </x:c>
      <x:c r="X23" s="18" t="n">
        <x:f>I23-J23-K23-L23-M23</x:f>
        <x:v>34430.13</x:v>
      </x:c>
      <x:c r="Y23" s="19" t="n">
        <x:f>IF(I23=0,"",X23/I23)</x:f>
        <x:v>0.4141838984000989</x:v>
      </x:c>
      <x:c r="Z23" s="18" t="n">
        <x:f>IF(E23=0,"",F23/E23)</x:f>
        <x:v>1165.3643243243243</x:v>
      </x:c>
      <x:c r="AA23" s="18" t="n">
        <x:f>IF(N23=0,"",M23/N23)</x:f>
        <x:v>71.25238095238095</x:v>
      </x:c>
      <x:c r="AB23" s="19" t="n">
        <x:f>IF(E23=0,"",O23/E23)</x:f>
        <x:v>0.04054054054054054</x:v>
      </x:c>
      <x:c r="AC23" s="19" t="n">
        <x:f>IF(E23=0,"",P23/E23)</x:f>
        <x:v>0.013513513513513514</x:v>
      </x:c>
      <x:c r="AD23" s="20" t="n">
        <x:f>IF(Q23=0,"",100*(R23-S23)/Q23)</x:f>
        <x:v>66.66666666666667</x:v>
      </x:c>
      <x:c r="AE23" s="19" t="n">
        <x:f>IF(F23=0,"",G23/F23)</x:f>
        <x:v>0.025555515871616995</x:v>
      </x:c>
      <x:c r="AF23" s="18" t="n">
        <x:f>ROUND(I23-(F23-G23-H23),2)</x:f>
        <x:v>0</x:v>
      </x:c>
    </x:row>
    <x:row r="24" ht="24" customHeight="1">
      <x:c r="A24" s="14" t="n">
        <x:v>44958</x:v>
      </x:c>
      <x:c r="B24" s="2" t="str">
        <x:v>Lojas</x:v>
      </x:c>
      <x:c r="C24" s="2" t="str">
        <x:v>Sul</x:v>
      </x:c>
      <x:c r="D24" s="2" t="str">
        <x:v>M-0019</x:v>
      </x:c>
      <x:c r="E24" s="16" t="n">
        <x:v>55</x:v>
      </x:c>
      <x:c r="F24" s="17" t="n">
        <x:v>64035.91</x:v>
      </x:c>
      <x:c r="G24" s="17" t="n">
        <x:v>1636.47</x:v>
      </x:c>
      <x:c r="H24" s="17" t="n">
        <x:v>672.38</x:v>
      </x:c>
      <x:c r="I24" s="17" t="n">
        <x:v>61727.06</x:v>
      </x:c>
      <x:c r="J24" s="17" t="n">
        <x:v>30236.69</x:v>
      </x:c>
      <x:c r="K24" s="17" t="n">
        <x:v>1234.54</x:v>
      </x:c>
      <x:c r="L24" s="17" t="n">
        <x:v>1481.45</x:v>
      </x:c>
      <x:c r="M24" s="17" t="n">
        <x:v>1111.09</x:v>
      </x:c>
      <x:c r="N24" s="16" t="n">
        <x:v>15</x:v>
      </x:c>
      <x:c r="O24" s="16" t="n">
        <x:v>2</x:v>
      </x:c>
      <x:c r="P24" s="16" t="n">
        <x:v>1</x:v>
      </x:c>
      <x:c r="Q24" s="16" t="n">
        <x:v>18</x:v>
      </x:c>
      <x:c r="R24" s="16" t="n">
        <x:v>13</x:v>
      </x:c>
      <x:c r="S24" s="16" t="n">
        <x:v>2</x:v>
      </x:c>
      <x:c r="T24" s="15" t="n">
        <x:f>YEAR(A24)</x:f>
        <x:v>2023</x:v>
      </x:c>
      <x:c r="U24" s="15" t="n">
        <x:f>ROUNDUP(MONTH(A24)/3,0)</x:f>
        <x:v>1</x:v>
      </x:c>
      <x:c r="V24" s="18" t="n">
        <x:f>I24-J24</x:f>
        <x:v>31490.37</x:v>
      </x:c>
      <x:c r="W24" s="19" t="n">
        <x:f>IF(I24=0,"",V24/I24)</x:f>
        <x:v>0.5101550276329376</x:v>
      </x:c>
      <x:c r="X24" s="18" t="n">
        <x:f>I24-J24-K24-L24-M24</x:f>
        <x:v>27663.289999999997</x:v>
      </x:c>
      <x:c r="Y24" s="19" t="n">
        <x:f>IF(I24=0,"",X24/I24)</x:f>
        <x:v>0.44815499069613873</x:v>
      </x:c>
      <x:c r="Z24" s="18" t="n">
        <x:f>IF(E24=0,"",F24/E24)</x:f>
        <x:v>1164.2892727272729</x:v>
      </x:c>
      <x:c r="AA24" s="18" t="n">
        <x:f>IF(N24=0,"",M24/N24)</x:f>
        <x:v>74.07266666666666</x:v>
      </x:c>
      <x:c r="AB24" s="19" t="n">
        <x:f>IF(E24=0,"",O24/E24)</x:f>
        <x:v>0.03636363636363636</x:v>
      </x:c>
      <x:c r="AC24" s="19" t="n">
        <x:f>IF(E24=0,"",P24/E24)</x:f>
        <x:v>0.01818181818181818</x:v>
      </x:c>
      <x:c r="AD24" s="20" t="n">
        <x:f>IF(Q24=0,"",100*(R24-S24)/Q24)</x:f>
        <x:v>61.111111111111114</x:v>
      </x:c>
      <x:c r="AE24" s="19" t="n">
        <x:f>IF(F24=0,"",G24/F24)</x:f>
        <x:v>0.025555504716025742</x:v>
      </x:c>
      <x:c r="AF24" s="18" t="n">
        <x:f>ROUND(I24-(F24-G24-H24),2)</x:f>
        <x:v>0</x:v>
      </x:c>
    </x:row>
    <x:row r="25" ht="24" customHeight="1">
      <x:c r="A25" s="14" t="n">
        <x:v>44958</x:v>
      </x:c>
      <x:c r="B25" s="2" t="str">
        <x:v>Lojas</x:v>
      </x:c>
      <x:c r="C25" s="2" t="str">
        <x:v>Centro-Oeste</x:v>
      </x:c>
      <x:c r="D25" s="2" t="str">
        <x:v>M-0020</x:v>
      </x:c>
      <x:c r="E25" s="16" t="n">
        <x:v>49</x:v>
      </x:c>
      <x:c r="F25" s="17" t="n">
        <x:v>56452.32</x:v>
      </x:c>
      <x:c r="G25" s="17" t="n">
        <x:v>1442.67</x:v>
      </x:c>
      <x:c r="H25" s="17" t="n">
        <x:v>592.75</x:v>
      </x:c>
      <x:c r="I25" s="17" t="n">
        <x:v>54416.9</x:v>
      </x:c>
      <x:c r="J25" s="17" t="n">
        <x:v>28748.6</x:v>
      </x:c>
      <x:c r="K25" s="17" t="n">
        <x:v>1088.34</x:v>
      </x:c>
      <x:c r="L25" s="17" t="n">
        <x:v>1306.01</x:v>
      </x:c>
      <x:c r="M25" s="17" t="n">
        <x:v>979.5</x:v>
      </x:c>
      <x:c r="N25" s="16" t="n">
        <x:v>14</x:v>
      </x:c>
      <x:c r="O25" s="16" t="n">
        <x:v>2</x:v>
      </x:c>
      <x:c r="P25" s="16" t="n">
        <x:v>1</x:v>
      </x:c>
      <x:c r="Q25" s="16" t="n">
        <x:v>16</x:v>
      </x:c>
      <x:c r="R25" s="16" t="n">
        <x:v>12</x:v>
      </x:c>
      <x:c r="S25" s="16" t="n">
        <x:v>2</x:v>
      </x:c>
      <x:c r="T25" s="15" t="n">
        <x:f>YEAR(A25)</x:f>
        <x:v>2023</x:v>
      </x:c>
      <x:c r="U25" s="15" t="n">
        <x:f>ROUNDUP(MONTH(A25)/3,0)</x:f>
        <x:v>1</x:v>
      </x:c>
      <x:c r="V25" s="18" t="n">
        <x:f>I25-J25</x:f>
        <x:v>25668.300000000003</x:v>
      </x:c>
      <x:c r="W25" s="19" t="n">
        <x:f>IF(I25=0,"",V25/I25)</x:f>
        <x:v>0.4716972117118028</x:v>
      </x:c>
      <x:c r="X25" s="18" t="n">
        <x:f>I25-J25-K25-L25-M25</x:f>
        <x:v>22294.450000000004</x:v>
      </x:c>
      <x:c r="Y25" s="19" t="n">
        <x:f>IF(I25=0,"",X25/I25)</x:f>
        <x:v>0.409697171283186</x:v>
      </x:c>
      <x:c r="Z25" s="18" t="n">
        <x:f>IF(E25=0,"",F25/E25)</x:f>
        <x:v>1152.088163265306</x:v>
      </x:c>
      <x:c r="AA25" s="18" t="n">
        <x:f>IF(N25=0,"",M25/N25)</x:f>
        <x:v>69.96428571428571</x:v>
      </x:c>
      <x:c r="AB25" s="19" t="n">
        <x:f>IF(E25=0,"",O25/E25)</x:f>
        <x:v>0.04081632653061224</x:v>
      </x:c>
      <x:c r="AC25" s="19" t="n">
        <x:f>IF(E25=0,"",P25/E25)</x:f>
        <x:v>0.02040816326530612</x:v>
      </x:c>
      <x:c r="AD25" s="20" t="n">
        <x:f>IF(Q25=0,"",100*(R25-S25)/Q25)</x:f>
        <x:v>62.5</x:v>
      </x:c>
      <x:c r="AE25" s="19" t="n">
        <x:f>IF(F25=0,"",G25/F25)</x:f>
        <x:v>0.025555548469930023</x:v>
      </x:c>
      <x:c r="AF25" s="18" t="n">
        <x:f>ROUND(I25-(F25-G25-H25),2)</x:f>
        <x:v>0</x:v>
      </x:c>
    </x:row>
    <x:row r="26" ht="24" customHeight="1">
      <x:c r="A26" s="14" t="n">
        <x:v>44958</x:v>
      </x:c>
      <x:c r="B26" s="2" t="str">
        <x:v>B2B</x:v>
      </x:c>
      <x:c r="C26" s="2" t="str">
        <x:v>Sudeste</x:v>
      </x:c>
      <x:c r="D26" s="2" t="str">
        <x:v>M-0021</x:v>
      </x:c>
      <x:c r="E26" s="16" t="n">
        <x:v>62</x:v>
      </x:c>
      <x:c r="F26" s="17" t="n">
        <x:v>71474.23</x:v>
      </x:c>
      <x:c r="G26" s="17" t="n">
        <x:v>1826.56</x:v>
      </x:c>
      <x:c r="H26" s="17" t="n">
        <x:v>750.48</x:v>
      </x:c>
      <x:c r="I26" s="17" t="n">
        <x:v>68897.19</x:v>
      </x:c>
      <x:c r="J26" s="17" t="n">
        <x:v>35175.93</x:v>
      </x:c>
      <x:c r="K26" s="17" t="n">
        <x:v>1377.94</x:v>
      </x:c>
      <x:c r="L26" s="17" t="n">
        <x:v>1653.53</x:v>
      </x:c>
      <x:c r="M26" s="17" t="n">
        <x:v>1240.15</x:v>
      </x:c>
      <x:c r="N26" s="16" t="n">
        <x:v>17</x:v>
      </x:c>
      <x:c r="O26" s="16" t="n">
        <x:v>3</x:v>
      </x:c>
      <x:c r="P26" s="16" t="n">
        <x:v>1</x:v>
      </x:c>
      <x:c r="Q26" s="16" t="n">
        <x:v>20</x:v>
      </x:c>
      <x:c r="R26" s="16" t="n">
        <x:v>15</x:v>
      </x:c>
      <x:c r="S26" s="16" t="n">
        <x:v>2</x:v>
      </x:c>
      <x:c r="T26" s="15" t="n">
        <x:f>YEAR(A26)</x:f>
        <x:v>2023</x:v>
      </x:c>
      <x:c r="U26" s="15" t="n">
        <x:f>ROUNDUP(MONTH(A26)/3,0)</x:f>
        <x:v>1</x:v>
      </x:c>
      <x:c r="V26" s="18" t="n">
        <x:f>I26-J26</x:f>
        <x:v>33721.26</x:v>
      </x:c>
      <x:c r="W26" s="19" t="n">
        <x:f>IF(I26=0,"",V26/I26)</x:f>
        <x:v>0.4894431833867245</x:v>
      </x:c>
      <x:c r="X26" s="18" t="n">
        <x:f>I26-J26-K26-L26-M26</x:f>
        <x:v>29449.640000000003</x:v>
      </x:c>
      <x:c r="Y26" s="19" t="n">
        <x:f>IF(I26=0,"",X26/I26)</x:f>
        <x:v>0.4274432672798412</x:v>
      </x:c>
      <x:c r="Z26" s="18" t="n">
        <x:f>IF(E26=0,"",F26/E26)</x:f>
        <x:v>1152.8101612903224</x:v>
      </x:c>
      <x:c r="AA26" s="18" t="n">
        <x:f>IF(N26=0,"",M26/N26)</x:f>
        <x:v>72.95</x:v>
      </x:c>
      <x:c r="AB26" s="19" t="n">
        <x:f>IF(E26=0,"",O26/E26)</x:f>
        <x:v>0.04838709677419355</x:v>
      </x:c>
      <x:c r="AC26" s="19" t="n">
        <x:f>IF(E26=0,"",P26/E26)</x:f>
        <x:v>0.016129032258064516</x:v>
      </x:c>
      <x:c r="AD26" s="20" t="n">
        <x:f>IF(Q26=0,"",100*(R26-S26)/Q26)</x:f>
        <x:v>65</x:v>
      </x:c>
      <x:c r="AE26" s="19" t="n">
        <x:f>IF(F26=0,"",G26/F26)</x:f>
        <x:v>0.02555550441047074</x:v>
      </x:c>
      <x:c r="AF26" s="18" t="n">
        <x:f>ROUND(I26-(F26-G26-H26),2)</x:f>
        <x:v>0</x:v>
      </x:c>
    </x:row>
    <x:row r="27" ht="24" customHeight="1">
      <x:c r="A27" s="14" t="n">
        <x:v>44958</x:v>
      </x:c>
      <x:c r="B27" s="2" t="str">
        <x:v>B2B</x:v>
      </x:c>
      <x:c r="C27" s="2" t="str">
        <x:v>Nordeste</x:v>
      </x:c>
      <x:c r="D27" s="2" t="str">
        <x:v>M-0022</x:v>
      </x:c>
      <x:c r="E27" s="16" t="n">
        <x:v>46</x:v>
      </x:c>
      <x:c r="F27" s="17" t="n">
        <x:v>53715.06</x:v>
      </x:c>
      <x:c r="G27" s="17" t="n">
        <x:v>1372.72</x:v>
      </x:c>
      <x:c r="H27" s="17" t="n">
        <x:v>564.01</x:v>
      </x:c>
      <x:c r="I27" s="17" t="n">
        <x:v>51778.33</x:v>
      </x:c>
      <x:c r="J27" s="17" t="n">
        <x:v>26989.23</x:v>
      </x:c>
      <x:c r="K27" s="17" t="n">
        <x:v>1035.57</x:v>
      </x:c>
      <x:c r="L27" s="17" t="n">
        <x:v>1242.68</x:v>
      </x:c>
      <x:c r="M27" s="17" t="n">
        <x:v>932.01</x:v>
      </x:c>
      <x:c r="N27" s="16" t="n">
        <x:v>13</x:v>
      </x:c>
      <x:c r="O27" s="16" t="n">
        <x:v>2</x:v>
      </x:c>
      <x:c r="P27" s="16" t="n">
        <x:v>1</x:v>
      </x:c>
      <x:c r="Q27" s="16" t="n">
        <x:v>15</x:v>
      </x:c>
      <x:c r="R27" s="16" t="n">
        <x:v>11</x:v>
      </x:c>
      <x:c r="S27" s="16" t="n">
        <x:v>2</x:v>
      </x:c>
      <x:c r="T27" s="15" t="n">
        <x:f>YEAR(A27)</x:f>
        <x:v>2023</x:v>
      </x:c>
      <x:c r="U27" s="15" t="n">
        <x:f>ROUNDUP(MONTH(A27)/3,0)</x:f>
        <x:v>1</x:v>
      </x:c>
      <x:c r="V27" s="18" t="n">
        <x:f>I27-J27</x:f>
        <x:v>24789.100000000002</x:v>
      </x:c>
      <x:c r="W27" s="19" t="n">
        <x:f>IF(I27=0,"",V27/I27)</x:f>
        <x:v>0.4787543360320814</x:v>
      </x:c>
      <x:c r="X27" s="18" t="n">
        <x:f>I27-J27-K27-L27-M27</x:f>
        <x:v>21578.840000000004</x:v>
      </x:c>
      <x:c r="Y27" s="19" t="n">
        <x:f>IF(I27=0,"",X27/I27)</x:f>
        <x:v>0.4167542676637119</x:v>
      </x:c>
      <x:c r="Z27" s="18" t="n">
        <x:f>IF(E27=0,"",F27/E27)</x:f>
        <x:v>1167.718695652174</x:v>
      </x:c>
      <x:c r="AA27" s="18" t="n">
        <x:f>IF(N27=0,"",M27/N27)</x:f>
        <x:v>71.69307692307692</x:v>
      </x:c>
      <x:c r="AB27" s="19" t="n">
        <x:f>IF(E27=0,"",O27/E27)</x:f>
        <x:v>0.043478260869565216</x:v>
      </x:c>
      <x:c r="AC27" s="19" t="n">
        <x:f>IF(E27=0,"",P27/E27)</x:f>
        <x:v>0.021739130434782608</x:v>
      </x:c>
      <x:c r="AD27" s="20" t="n">
        <x:f>IF(Q27=0,"",100*(R27-S27)/Q27)</x:f>
        <x:v>60</x:v>
      </x:c>
      <x:c r="AE27" s="19" t="n">
        <x:f>IF(F27=0,"",G27/F27)</x:f>
        <x:v>0.02555558906571081</x:v>
      </x:c>
      <x:c r="AF27" s="18" t="n">
        <x:f>ROUND(I27-(F27-G27-H27),2)</x:f>
        <x:v>0</x:v>
      </x:c>
    </x:row>
    <x:row r="28" ht="24" customHeight="1">
      <x:c r="A28" s="14" t="n">
        <x:v>44958</x:v>
      </x:c>
      <x:c r="B28" s="2" t="str">
        <x:v>B2B</x:v>
      </x:c>
      <x:c r="C28" s="2" t="str">
        <x:v>Sul</x:v>
      </x:c>
      <x:c r="D28" s="2" t="str">
        <x:v>M-0023</x:v>
      </x:c>
      <x:c r="E28" s="16" t="n">
        <x:v>33</x:v>
      </x:c>
      <x:c r="F28" s="17" t="n">
        <x:v>38628.76</x:v>
      </x:c>
      <x:c r="G28" s="17" t="n">
        <x:v>987.18</x:v>
      </x:c>
      <x:c r="H28" s="17" t="n">
        <x:v>405.6</x:v>
      </x:c>
      <x:c r="I28" s="17" t="n">
        <x:v>37235.98</x:v>
      </x:c>
      <x:c r="J28" s="17" t="n">
        <x:v>19707.24</x:v>
      </x:c>
      <x:c r="K28" s="17" t="n">
        <x:v>744.72</x:v>
      </x:c>
      <x:c r="L28" s="17" t="n">
        <x:v>893.66</x:v>
      </x:c>
      <x:c r="M28" s="17" t="n">
        <x:v>670.25</x:v>
      </x:c>
      <x:c r="N28" s="16" t="n">
        <x:v>9</x:v>
      </x:c>
      <x:c r="O28" s="16" t="n">
        <x:v>1</x:v>
      </x:c>
      <x:c r="P28" s="16" t="n">
        <x:v>1</x:v>
      </x:c>
      <x:c r="Q28" s="16" t="n">
        <x:v>11</x:v>
      </x:c>
      <x:c r="R28" s="16" t="n">
        <x:v>8</x:v>
      </x:c>
      <x:c r="S28" s="16" t="n">
        <x:v>1</x:v>
      </x:c>
      <x:c r="T28" s="15" t="n">
        <x:f>YEAR(A28)</x:f>
        <x:v>2023</x:v>
      </x:c>
      <x:c r="U28" s="15" t="n">
        <x:f>ROUNDUP(MONTH(A28)/3,0)</x:f>
        <x:v>1</x:v>
      </x:c>
      <x:c r="V28" s="18" t="n">
        <x:f>I28-J28</x:f>
        <x:v>17528.74</x:v>
      </x:c>
      <x:c r="W28" s="19" t="n">
        <x:f>IF(I28=0,"",V28/I28)</x:f>
        <x:v>0.4707473792820815</x:v>
      </x:c>
      <x:c r="X28" s="18" t="n">
        <x:f>I28-J28-K28-L28-M28</x:f>
        <x:v>15220.11</x:v>
      </x:c>
      <x:c r="Y28" s="19" t="n">
        <x:f>IF(I28=0,"",X28/I28)</x:f>
        <x:v>0.408747399692448</x:v>
      </x:c>
      <x:c r="Z28" s="18" t="n">
        <x:f>IF(E28=0,"",F28/E28)</x:f>
        <x:v>1170.568484848485</x:v>
      </x:c>
      <x:c r="AA28" s="18" t="n">
        <x:f>IF(N28=0,"",M28/N28)</x:f>
        <x:v>74.47222222222223</x:v>
      </x:c>
      <x:c r="AB28" s="19" t="n">
        <x:f>IF(E28=0,"",O28/E28)</x:f>
        <x:v>0.030303030303030304</x:v>
      </x:c>
      <x:c r="AC28" s="19" t="n">
        <x:f>IF(E28=0,"",P28/E28)</x:f>
        <x:v>0.030303030303030304</x:v>
      </x:c>
      <x:c r="AD28" s="20" t="n">
        <x:f>IF(Q28=0,"",100*(R28-S28)/Q28)</x:f>
        <x:v>63.63636363636363</x:v>
      </x:c>
      <x:c r="AE28" s="19" t="n">
        <x:f>IF(F28=0,"",G28/F28)</x:f>
        <x:v>0.025555570512747493</x:v>
      </x:c>
      <x:c r="AF28" s="18" t="n">
        <x:f>ROUND(I28-(F28-G28-H28),2)</x:f>
        <x:v>0</x:v>
      </x:c>
    </x:row>
    <x:row r="29" ht="24" customHeight="1">
      <x:c r="A29" s="14" t="n">
        <x:v>44958</x:v>
      </x:c>
      <x:c r="B29" s="2" t="str">
        <x:v>B2B</x:v>
      </x:c>
      <x:c r="C29" s="2" t="str">
        <x:v>Centro-Oeste</x:v>
      </x:c>
      <x:c r="D29" s="2" t="str">
        <x:v>M-0024</x:v>
      </x:c>
      <x:c r="E29" s="16" t="n">
        <x:v>26</x:v>
      </x:c>
      <x:c r="F29" s="17" t="n">
        <x:v>30135.73</x:v>
      </x:c>
      <x:c r="G29" s="17" t="n">
        <x:v>770.14</x:v>
      </x:c>
      <x:c r="H29" s="17" t="n">
        <x:v>316.43</x:v>
      </x:c>
      <x:c r="I29" s="17" t="n">
        <x:v>29049.16</x:v>
      </x:c>
      <x:c r="J29" s="17" t="n">
        <x:v>14361.66</x:v>
      </x:c>
      <x:c r="K29" s="17" t="n">
        <x:v>580.98</x:v>
      </x:c>
      <x:c r="L29" s="17" t="n">
        <x:v>697.18</x:v>
      </x:c>
      <x:c r="M29" s="17" t="n">
        <x:v>522.88</x:v>
      </x:c>
      <x:c r="N29" s="16" t="n">
        <x:v>7</x:v>
      </x:c>
      <x:c r="O29" s="16" t="n">
        <x:v>1</x:v>
      </x:c>
      <x:c r="P29" s="16" t="n">
        <x:v>0</x:v>
      </x:c>
      <x:c r="Q29" s="16" t="n">
        <x:v>8</x:v>
      </x:c>
      <x:c r="R29" s="16" t="n">
        <x:v>6</x:v>
      </x:c>
      <x:c r="S29" s="16" t="n">
        <x:v>1</x:v>
      </x:c>
      <x:c r="T29" s="15" t="n">
        <x:f>YEAR(A29)</x:f>
        <x:v>2023</x:v>
      </x:c>
      <x:c r="U29" s="15" t="n">
        <x:f>ROUNDUP(MONTH(A29)/3,0)</x:f>
        <x:v>1</x:v>
      </x:c>
      <x:c r="V29" s="18" t="n">
        <x:f>I29-J29</x:f>
        <x:v>14687.5</x:v>
      </x:c>
      <x:c r="W29" s="19" t="n">
        <x:f>IF(I29=0,"",V29/I29)</x:f>
        <x:v>0.5056084237891905</x:v>
      </x:c>
      <x:c r="X29" s="18" t="n">
        <x:f>I29-J29-K29-L29-M29</x:f>
        <x:v>12886.460000000001</x:v>
      </x:c>
      <x:c r="Y29" s="19" t="n">
        <x:f>IF(I29=0,"",X29/I29)</x:f>
        <x:v>0.4436086964304648</x:v>
      </x:c>
      <x:c r="Z29" s="18" t="n">
        <x:f>IF(E29=0,"",F29/E29)</x:f>
        <x:v>1159.0665384615384</x:v>
      </x:c>
      <x:c r="AA29" s="18" t="n">
        <x:f>IF(N29=0,"",M29/N29)</x:f>
        <x:v>74.69714285714285</x:v>
      </x:c>
      <x:c r="AB29" s="19" t="n">
        <x:f>IF(E29=0,"",O29/E29)</x:f>
        <x:v>0.038461538461538464</x:v>
      </x:c>
      <x:c r="AC29" s="19" t="n">
        <x:f>IF(E29=0,"",P29/E29)</x:f>
        <x:v>0</x:v>
      </x:c>
      <x:c r="AD29" s="20" t="n">
        <x:f>IF(Q29=0,"",100*(R29-S29)/Q29)</x:f>
        <x:v>62.5</x:v>
      </x:c>
      <x:c r="AE29" s="19" t="n">
        <x:f>IF(F29=0,"",G29/F29)</x:f>
        <x:v>0.025555710779197983</x:v>
      </x:c>
      <x:c r="AF29" s="18" t="n">
        <x:f>ROUND(I29-(F29-G29-H29),2)</x:f>
        <x:v>0</x:v>
      </x:c>
    </x:row>
    <x:row r="30" ht="24" customHeight="1">
      <x:c r="A30" s="14" t="n">
        <x:v>44986</x:v>
      </x:c>
      <x:c r="B30" s="2" t="str">
        <x:v>E-commerce</x:v>
      </x:c>
      <x:c r="C30" s="2" t="str">
        <x:v>Sudeste</x:v>
      </x:c>
      <x:c r="D30" s="2" t="str">
        <x:v>M-0025</x:v>
      </x:c>
      <x:c r="E30" s="16" t="n">
        <x:v>148</x:v>
      </x:c>
      <x:c r="F30" s="17" t="n">
        <x:v>172326.24</x:v>
      </x:c>
      <x:c r="G30" s="17" t="n">
        <x:v>4499.63</x:v>
      </x:c>
      <x:c r="H30" s="17" t="n">
        <x:v>1895.59</x:v>
      </x:c>
      <x:c r="I30" s="17" t="n">
        <x:v>165931.02</x:v>
      </x:c>
      <x:c r="J30" s="17" t="n">
        <x:v>85111.08</x:v>
      </x:c>
      <x:c r="K30" s="17" t="n">
        <x:v>6969.1</x:v>
      </x:c>
      <x:c r="L30" s="17" t="n">
        <x:v>3982.34</x:v>
      </x:c>
      <x:c r="M30" s="17" t="n">
        <x:v>12444.83</x:v>
      </x:c>
      <x:c r="N30" s="16" t="n">
        <x:v>77</x:v>
      </x:c>
      <x:c r="O30" s="16" t="n">
        <x:v>7</x:v>
      </x:c>
      <x:c r="P30" s="16" t="n">
        <x:v>3</x:v>
      </x:c>
      <x:c r="Q30" s="16" t="n">
        <x:v>47</x:v>
      </x:c>
      <x:c r="R30" s="16" t="n">
        <x:v>34</x:v>
      </x:c>
      <x:c r="S30" s="16" t="n">
        <x:v>5</x:v>
      </x:c>
      <x:c r="T30" s="15" t="n">
        <x:f>YEAR(A30)</x:f>
        <x:v>2023</x:v>
      </x:c>
      <x:c r="U30" s="15" t="n">
        <x:f>ROUNDUP(MONTH(A30)/3,0)</x:f>
        <x:v>1</x:v>
      </x:c>
      <x:c r="V30" s="18" t="n">
        <x:f>I30-J30</x:f>
        <x:v>80819.93999999999</x:v>
      </x:c>
      <x:c r="W30" s="19" t="n">
        <x:f>IF(I30=0,"",V30/I30)</x:f>
        <x:v>0.4870695063527</x:v>
      </x:c>
      <x:c r="X30" s="18" t="n">
        <x:f>I30-J30-K30-L30-M30</x:f>
        <x:v>57423.669999999984</x:v>
      </x:c>
      <x:c r="Y30" s="19" t="n">
        <x:f>IF(I30=0,"",X30/I30)</x:f>
        <x:v>0.3460695293743146</x:v>
      </x:c>
      <x:c r="Z30" s="18" t="n">
        <x:f>IF(E30=0,"",F30/E30)</x:f>
        <x:v>1164.3664864864863</x:v>
      </x:c>
      <x:c r="AA30" s="18" t="n">
        <x:f>IF(N30=0,"",M30/N30)</x:f>
        <x:v>161.62116883116883</x:v>
      </x:c>
      <x:c r="AB30" s="19" t="n">
        <x:f>IF(E30=0,"",O30/E30)</x:f>
        <x:v>0.0472972972972973</x:v>
      </x:c>
      <x:c r="AC30" s="19" t="n">
        <x:f>IF(E30=0,"",P30/E30)</x:f>
        <x:v>0.02027027027027027</x:v>
      </x:c>
      <x:c r="AD30" s="20" t="n">
        <x:f>IF(Q30=0,"",100*(R30-S30)/Q30)</x:f>
        <x:v>61.702127659574465</x:v>
      </x:c>
      <x:c r="AE30" s="19" t="n">
        <x:f>IF(F30=0,"",G30/F30)</x:f>
        <x:v>0.026111113432289827</x:v>
      </x:c>
      <x:c r="AF30" s="18" t="n">
        <x:f>ROUND(I30-(F30-G30-H30),2)</x:f>
        <x:v>0</x:v>
      </x:c>
    </x:row>
    <x:row r="31" ht="24" customHeight="1">
      <x:c r="A31" s="14" t="n">
        <x:v>44986</x:v>
      </x:c>
      <x:c r="B31" s="2" t="str">
        <x:v>E-commerce</x:v>
      </x:c>
      <x:c r="C31" s="2" t="str">
        <x:v>Nordeste</x:v>
      </x:c>
      <x:c r="D31" s="2" t="str">
        <x:v>M-0026</x:v>
      </x:c>
      <x:c r="E31" s="16" t="n">
        <x:v>84</x:v>
      </x:c>
      <x:c r="F31" s="17" t="n">
        <x:v>97059.84</x:v>
      </x:c>
      <x:c r="G31" s="17" t="n">
        <x:v>2534.34</x:v>
      </x:c>
      <x:c r="H31" s="17" t="n">
        <x:v>1067.66</x:v>
      </x:c>
      <x:c r="I31" s="17" t="n">
        <x:v>93457.84</x:v>
      </x:c>
      <x:c r="J31" s="17" t="n">
        <x:v>47368.74</x:v>
      </x:c>
      <x:c r="K31" s="17" t="n">
        <x:v>3925.23</x:v>
      </x:c>
      <x:c r="L31" s="17" t="n">
        <x:v>2242.99</x:v>
      </x:c>
      <x:c r="M31" s="17" t="n">
        <x:v>7009.34</x:v>
      </x:c>
      <x:c r="N31" s="16" t="n">
        <x:v>44</x:v>
      </x:c>
      <x:c r="O31" s="16" t="n">
        <x:v>4</x:v>
      </x:c>
      <x:c r="P31" s="16" t="n">
        <x:v>2</x:v>
      </x:c>
      <x:c r="Q31" s="16" t="n">
        <x:v>27</x:v>
      </x:c>
      <x:c r="R31" s="16" t="n">
        <x:v>20</x:v>
      </x:c>
      <x:c r="S31" s="16" t="n">
        <x:v>3</x:v>
      </x:c>
      <x:c r="T31" s="15" t="n">
        <x:f>YEAR(A31)</x:f>
        <x:v>2023</x:v>
      </x:c>
      <x:c r="U31" s="15" t="n">
        <x:f>ROUNDUP(MONTH(A31)/3,0)</x:f>
        <x:v>1</x:v>
      </x:c>
      <x:c r="V31" s="18" t="n">
        <x:f>I31-J31</x:f>
        <x:v>46089.1</x:v>
      </x:c>
      <x:c r="W31" s="19" t="n">
        <x:f>IF(I31=0,"",V31/I31)</x:f>
        <x:v>0.4931539183871573</x:v>
      </x:c>
      <x:c r="X31" s="18" t="n">
        <x:f>I31-J31-K31-L31-M31</x:f>
        <x:v>32911.53999999999</x:v>
      </x:c>
      <x:c r="Y31" s="19" t="n">
        <x:f>IF(I31=0,"",X31/I31)</x:f>
        <x:v>0.3521538695951029</x:v>
      </x:c>
      <x:c r="Z31" s="18" t="n">
        <x:f>IF(E31=0,"",F31/E31)</x:f>
        <x:v>1155.4742857142858</x:v>
      </x:c>
      <x:c r="AA31" s="18" t="n">
        <x:f>IF(N31=0,"",M31/N31)</x:f>
        <x:v>159.30318181818183</x:v>
      </x:c>
      <x:c r="AB31" s="19" t="n">
        <x:f>IF(E31=0,"",O31/E31)</x:f>
        <x:v>0.047619047619047616</x:v>
      </x:c>
      <x:c r="AC31" s="19" t="n">
        <x:f>IF(E31=0,"",P31/E31)</x:f>
        <x:v>0.023809523809523808</x:v>
      </x:c>
      <x:c r="AD31" s="20" t="n">
        <x:f>IF(Q31=0,"",100*(R31-S31)/Q31)</x:f>
        <x:v>62.96296296296296</x:v>
      </x:c>
      <x:c r="AE31" s="19" t="n">
        <x:f>IF(F31=0,"",G31/F31)</x:f>
        <x:v>0.02611110836366514</x:v>
      </x:c>
      <x:c r="AF31" s="18" t="n">
        <x:f>ROUND(I31-(F31-G31-H31),2)</x:f>
        <x:v>0</x:v>
      </x:c>
    </x:row>
    <x:row r="32" ht="24" customHeight="1">
      <x:c r="A32" s="14" t="n">
        <x:v>44986</x:v>
      </x:c>
      <x:c r="B32" s="2" t="str">
        <x:v>E-commerce</x:v>
      </x:c>
      <x:c r="C32" s="2" t="str">
        <x:v>Sul</x:v>
      </x:c>
      <x:c r="D32" s="2" t="str">
        <x:v>M-0027</x:v>
      </x:c>
      <x:c r="E32" s="16" t="n">
        <x:v>78</x:v>
      </x:c>
      <x:c r="F32" s="17" t="n">
        <x:v>90821.88</x:v>
      </x:c>
      <x:c r="G32" s="17" t="n">
        <x:v>2371.46</x:v>
      </x:c>
      <x:c r="H32" s="17" t="n">
        <x:v>999.04</x:v>
      </x:c>
      <x:c r="I32" s="17" t="n">
        <x:v>87451.38</x:v>
      </x:c>
      <x:c r="J32" s="17" t="n">
        <x:v>44972.67</x:v>
      </x:c>
      <x:c r="K32" s="17" t="n">
        <x:v>3672.96</x:v>
      </x:c>
      <x:c r="L32" s="17" t="n">
        <x:v>2098.83</x:v>
      </x:c>
      <x:c r="M32" s="17" t="n">
        <x:v>6558.85</x:v>
      </x:c>
      <x:c r="N32" s="16" t="n">
        <x:v>41</x:v>
      </x:c>
      <x:c r="O32" s="16" t="n">
        <x:v>4</x:v>
      </x:c>
      <x:c r="P32" s="16" t="n">
        <x:v>1</x:v>
      </x:c>
      <x:c r="Q32" s="16" t="n">
        <x:v>25</x:v>
      </x:c>
      <x:c r="R32" s="16" t="n">
        <x:v>18</x:v>
      </x:c>
      <x:c r="S32" s="16" t="n">
        <x:v>3</x:v>
      </x:c>
      <x:c r="T32" s="15" t="n">
        <x:f>YEAR(A32)</x:f>
        <x:v>2023</x:v>
      </x:c>
      <x:c r="U32" s="15" t="n">
        <x:f>ROUNDUP(MONTH(A32)/3,0)</x:f>
        <x:v>1</x:v>
      </x:c>
      <x:c r="V32" s="18" t="n">
        <x:f>I32-J32</x:f>
        <x:v>42478.71000000001</x:v>
      </x:c>
      <x:c r="W32" s="19" t="n">
        <x:f>IF(I32=0,"",V32/I32)</x:f>
        <x:v>0.4857408768163522</x:v>
      </x:c>
      <x:c r="X32" s="18" t="n">
        <x:f>I32-J32-K32-L32-M32</x:f>
        <x:v>30148.070000000007</x:v>
      </x:c>
      <x:c r="Y32" s="19" t="n">
        <x:f>IF(I32=0,"",X32/I32)</x:f>
        <x:v>0.3447409291883102</x:v>
      </x:c>
      <x:c r="Z32" s="18" t="n">
        <x:f>IF(E32=0,"",F32/E32)</x:f>
        <x:v>1164.383076923077</x:v>
      </x:c>
      <x:c r="AA32" s="18" t="n">
        <x:f>IF(N32=0,"",M32/N32)</x:f>
        <x:v>159.9719512195122</x:v>
      </x:c>
      <x:c r="AB32" s="19" t="n">
        <x:f>IF(E32=0,"",O32/E32)</x:f>
        <x:v>0.05128205128205128</x:v>
      </x:c>
      <x:c r="AC32" s="19" t="n">
        <x:f>IF(E32=0,"",P32/E32)</x:f>
        <x:v>0.01282051282051282</x:v>
      </x:c>
      <x:c r="AD32" s="20" t="n">
        <x:f>IF(Q32=0,"",100*(R32-S32)/Q32)</x:f>
        <x:v>60</x:v>
      </x:c>
      <x:c r="AE32" s="19" t="n">
        <x:f>IF(F32=0,"",G32/F32)</x:f>
        <x:v>0.02611110890899858</x:v>
      </x:c>
      <x:c r="AF32" s="18" t="n">
        <x:f>ROUND(I32-(F32-G32-H32),2)</x:f>
        <x:v>0</x:v>
      </x:c>
    </x:row>
    <x:row r="33" ht="24" customHeight="1">
      <x:c r="A33" s="14" t="n">
        <x:v>44986</x:v>
      </x:c>
      <x:c r="B33" s="2" t="str">
        <x:v>E-commerce</x:v>
      </x:c>
      <x:c r="C33" s="2" t="str">
        <x:v>Centro-Oeste</x:v>
      </x:c>
      <x:c r="D33" s="2" t="str">
        <x:v>M-0028</x:v>
      </x:c>
      <x:c r="E33" s="16" t="n">
        <x:v>61</x:v>
      </x:c>
      <x:c r="F33" s="17" t="n">
        <x:v>70869.26</x:v>
      </x:c>
      <x:c r="G33" s="17" t="n">
        <x:v>1850.48</x:v>
      </x:c>
      <x:c r="H33" s="17" t="n">
        <x:v>779.56</x:v>
      </x:c>
      <x:c r="I33" s="17" t="n">
        <x:v>68239.22</x:v>
      </x:c>
      <x:c r="J33" s="17" t="n">
        <x:v>35331.06</x:v>
      </x:c>
      <x:c r="K33" s="17" t="n">
        <x:v>2866.05</x:v>
      </x:c>
      <x:c r="L33" s="17" t="n">
        <x:v>1637.74</x:v>
      </x:c>
      <x:c r="M33" s="17" t="n">
        <x:v>5117.94</x:v>
      </x:c>
      <x:c r="N33" s="16" t="n">
        <x:v>32</x:v>
      </x:c>
      <x:c r="O33" s="16" t="n">
        <x:v>3</x:v>
      </x:c>
      <x:c r="P33" s="16" t="n">
        <x:v>1</x:v>
      </x:c>
      <x:c r="Q33" s="16" t="n">
        <x:v>20</x:v>
      </x:c>
      <x:c r="R33" s="16" t="n">
        <x:v>15</x:v>
      </x:c>
      <x:c r="S33" s="16" t="n">
        <x:v>2</x:v>
      </x:c>
      <x:c r="T33" s="15" t="n">
        <x:f>YEAR(A33)</x:f>
        <x:v>2023</x:v>
      </x:c>
      <x:c r="U33" s="15" t="n">
        <x:f>ROUNDUP(MONTH(A33)/3,0)</x:f>
        <x:v>1</x:v>
      </x:c>
      <x:c r="V33" s="18" t="n">
        <x:f>I33-J33</x:f>
        <x:v>32908.16</x:v>
      </x:c>
      <x:c r="W33" s="19" t="n">
        <x:f>IF(I33=0,"",V33/I33)</x:f>
        <x:v>0.48224701278824705</x:v>
      </x:c>
      <x:c r="X33" s="18" t="n">
        <x:f>I33-J33-K33-L33-M33</x:f>
        <x:v>23286.430000000004</x:v>
      </x:c>
      <x:c r="Y33" s="19" t="n">
        <x:f>IF(I33=0,"",X33/I33)</x:f>
        <x:v>0.34124701308133365</x:v>
      </x:c>
      <x:c r="Z33" s="18" t="n">
        <x:f>IF(E33=0,"",F33/E33)</x:f>
        <x:v>1161.7911475409835</x:v>
      </x:c>
      <x:c r="AA33" s="18" t="n">
        <x:f>IF(N33=0,"",M33/N33)</x:f>
        <x:v>159.935625</x:v>
      </x:c>
      <x:c r="AB33" s="19" t="n">
        <x:f>IF(E33=0,"",O33/E33)</x:f>
        <x:v>0.04918032786885246</x:v>
      </x:c>
      <x:c r="AC33" s="19" t="n">
        <x:f>IF(E33=0,"",P33/E33)</x:f>
        <x:v>0.01639344262295082</x:v>
      </x:c>
      <x:c r="AD33" s="20" t="n">
        <x:f>IF(Q33=0,"",100*(R33-S33)/Q33)</x:f>
        <x:v>65</x:v>
      </x:c>
      <x:c r="AE33" s="19" t="n">
        <x:f>IF(F33=0,"",G33/F33)</x:f>
        <x:v>0.026111179938946735</x:v>
      </x:c>
      <x:c r="AF33" s="18" t="n">
        <x:f>ROUND(I33-(F33-G33-H33),2)</x:f>
        <x:v>0</x:v>
      </x:c>
    </x:row>
    <x:row r="34" ht="24" customHeight="1">
      <x:c r="A34" s="14" t="n">
        <x:v>44986</x:v>
      </x:c>
      <x:c r="B34" s="2" t="str">
        <x:v>Lojas</x:v>
      </x:c>
      <x:c r="C34" s="2" t="str">
        <x:v>Sudeste</x:v>
      </x:c>
      <x:c r="D34" s="2" t="str">
        <x:v>M-0029</x:v>
      </x:c>
      <x:c r="E34" s="16" t="n">
        <x:v>117</x:v>
      </x:c>
      <x:c r="F34" s="17" t="n">
        <x:v>135631.59</x:v>
      </x:c>
      <x:c r="G34" s="17" t="n">
        <x:v>3541.49</x:v>
      </x:c>
      <x:c r="H34" s="17" t="n">
        <x:v>1491.95</x:v>
      </x:c>
      <x:c r="I34" s="17" t="n">
        <x:v>130598.15</x:v>
      </x:c>
      <x:c r="J34" s="17" t="n">
        <x:v>69426.51</x:v>
      </x:c>
      <x:c r="K34" s="17" t="n">
        <x:v>2742.56</x:v>
      </x:c>
      <x:c r="L34" s="17" t="n">
        <x:v>3134.36</x:v>
      </x:c>
      <x:c r="M34" s="17" t="n">
        <x:v>2350.77</x:v>
      </x:c>
      <x:c r="N34" s="16" t="n">
        <x:v>33</x:v>
      </x:c>
      <x:c r="O34" s="16" t="n">
        <x:v>6</x:v>
      </x:c>
      <x:c r="P34" s="16" t="n">
        <x:v>2</x:v>
      </x:c>
      <x:c r="Q34" s="16" t="n">
        <x:v>37</x:v>
      </x:c>
      <x:c r="R34" s="16" t="n">
        <x:v>27</x:v>
      </x:c>
      <x:c r="S34" s="16" t="n">
        <x:v>4</x:v>
      </x:c>
      <x:c r="T34" s="15" t="n">
        <x:f>YEAR(A34)</x:f>
        <x:v>2023</x:v>
      </x:c>
      <x:c r="U34" s="15" t="n">
        <x:f>ROUNDUP(MONTH(A34)/3,0)</x:f>
        <x:v>1</x:v>
      </x:c>
      <x:c r="V34" s="18" t="n">
        <x:f>I34-J34</x:f>
        <x:v>61171.64</x:v>
      </x:c>
      <x:c r="W34" s="19" t="n">
        <x:f>IF(I34=0,"",V34/I34)</x:f>
        <x:v>0.4683959152560737</x:v>
      </x:c>
      <x:c r="X34" s="18" t="n">
        <x:f>I34-J34-K34-L34-M34</x:f>
        <x:v>52943.950000000004</x:v>
      </x:c>
      <x:c r="Y34" s="19" t="n">
        <x:f>IF(I34=0,"",X34/I34)</x:f>
        <x:v>0.4053958651022239</x:v>
      </x:c>
      <x:c r="Z34" s="18" t="n">
        <x:f>IF(E34=0,"",F34/E34)</x:f>
        <x:v>1159.2443589743589</x:v>
      </x:c>
      <x:c r="AA34" s="18" t="n">
        <x:f>IF(N34=0,"",M34/N34)</x:f>
        <x:v>71.23545454545454</x:v>
      </x:c>
      <x:c r="AB34" s="19" t="n">
        <x:f>IF(E34=0,"",O34/E34)</x:f>
        <x:v>0.05128205128205128</x:v>
      </x:c>
      <x:c r="AC34" s="19" t="n">
        <x:f>IF(E34=0,"",P34/E34)</x:f>
        <x:v>0.017094017094017096</x:v>
      </x:c>
      <x:c r="AD34" s="20" t="n">
        <x:f>IF(Q34=0,"",100*(R34-S34)/Q34)</x:f>
        <x:v>62.16216216216216</x:v>
      </x:c>
      <x:c r="AE34" s="19" t="n">
        <x:f>IF(F34=0,"",G34/F34)</x:f>
        <x:v>0.026111099928858756</x:v>
      </x:c>
      <x:c r="AF34" s="18" t="n">
        <x:f>ROUND(I34-(F34-G34-H34),2)</x:f>
        <x:v>0</x:v>
      </x:c>
    </x:row>
    <x:row r="35" ht="24" customHeight="1">
      <x:c r="A35" s="14" t="n">
        <x:v>44986</x:v>
      </x:c>
      <x:c r="B35" s="2" t="str">
        <x:v>Lojas</x:v>
      </x:c>
      <x:c r="C35" s="2" t="str">
        <x:v>Nordeste</x:v>
      </x:c>
      <x:c r="D35" s="2" t="str">
        <x:v>M-0030</x:v>
      </x:c>
      <x:c r="E35" s="16" t="n">
        <x:v>74</x:v>
      </x:c>
      <x:c r="F35" s="17" t="n">
        <x:v>85788.56</x:v>
      </x:c>
      <x:c r="G35" s="17" t="n">
        <x:v>2240.03</x:v>
      </x:c>
      <x:c r="H35" s="17" t="n">
        <x:v>943.67</x:v>
      </x:c>
      <x:c r="I35" s="17" t="n">
        <x:v>82604.86</x:v>
      </x:c>
      <x:c r="J35" s="17" t="n">
        <x:v>43650.34</x:v>
      </x:c>
      <x:c r="K35" s="17" t="n">
        <x:v>1734.7</x:v>
      </x:c>
      <x:c r="L35" s="17" t="n">
        <x:v>1982.52</x:v>
      </x:c>
      <x:c r="M35" s="17" t="n">
        <x:v>1486.89</x:v>
      </x:c>
      <x:c r="N35" s="16" t="n">
        <x:v>21</x:v>
      </x:c>
      <x:c r="O35" s="16" t="n">
        <x:v>4</x:v>
      </x:c>
      <x:c r="P35" s="16" t="n">
        <x:v>1</x:v>
      </x:c>
      <x:c r="Q35" s="16" t="n">
        <x:v>24</x:v>
      </x:c>
      <x:c r="R35" s="16" t="n">
        <x:v>17</x:v>
      </x:c>
      <x:c r="S35" s="16" t="n">
        <x:v>3</x:v>
      </x:c>
      <x:c r="T35" s="15" t="n">
        <x:f>YEAR(A35)</x:f>
        <x:v>2023</x:v>
      </x:c>
      <x:c r="U35" s="15" t="n">
        <x:f>ROUNDUP(MONTH(A35)/3,0)</x:f>
        <x:v>1</x:v>
      </x:c>
      <x:c r="V35" s="18" t="n">
        <x:f>I35-J35</x:f>
        <x:v>38954.520000000004</x:v>
      </x:c>
      <x:c r="W35" s="19" t="n">
        <x:f>IF(I35=0,"",V35/I35)</x:f>
        <x:v>0.47157661183615596</x:v>
      </x:c>
      <x:c r="X35" s="18" t="n">
        <x:f>I35-J35-K35-L35-M35</x:f>
        <x:v>33750.41000000001</x:v>
      </x:c>
      <x:c r="Y35" s="19" t="n">
        <x:f>IF(I35=0,"",X35/I35)</x:f>
        <x:v>0.4085765655919036</x:v>
      </x:c>
      <x:c r="Z35" s="18" t="n">
        <x:f>IF(E35=0,"",F35/E35)</x:f>
        <x:v>1159.3048648648648</x:v>
      </x:c>
      <x:c r="AA35" s="18" t="n">
        <x:f>IF(N35=0,"",M35/N35)</x:f>
        <x:v>70.80428571428573</x:v>
      </x:c>
      <x:c r="AB35" s="19" t="n">
        <x:f>IF(E35=0,"",O35/E35)</x:f>
        <x:v>0.05405405405405406</x:v>
      </x:c>
      <x:c r="AC35" s="19" t="n">
        <x:f>IF(E35=0,"",P35/E35)</x:f>
        <x:v>0.013513513513513514</x:v>
      </x:c>
      <x:c r="AD35" s="20" t="n">
        <x:f>IF(Q35=0,"",100*(R35-S35)/Q35)</x:f>
        <x:v>58.333333333333336</x:v>
      </x:c>
      <x:c r="AE35" s="19" t="n">
        <x:f>IF(F35=0,"",G35/F35)</x:f>
        <x:v>0.026111057231873343</x:v>
      </x:c>
      <x:c r="AF35" s="18" t="n">
        <x:f>ROUND(I35-(F35-G35-H35),2)</x:f>
        <x:v>0</x:v>
      </x:c>
    </x:row>
    <x:row r="36" ht="24" customHeight="1">
      <x:c r="A36" s="14" t="n">
        <x:v>44986</x:v>
      </x:c>
      <x:c r="B36" s="2" t="str">
        <x:v>Lojas</x:v>
      </x:c>
      <x:c r="C36" s="2" t="str">
        <x:v>Sul</x:v>
      </x:c>
      <x:c r="D36" s="2" t="str">
        <x:v>M-0031</x:v>
      </x:c>
      <x:c r="E36" s="16" t="n">
        <x:v>68</x:v>
      </x:c>
      <x:c r="F36" s="17" t="n">
        <x:v>78747.55</x:v>
      </x:c>
      <x:c r="G36" s="17" t="n">
        <x:v>2056.19</x:v>
      </x:c>
      <x:c r="H36" s="17" t="n">
        <x:v>866.22</x:v>
      </x:c>
      <x:c r="I36" s="17" t="n">
        <x:v>75825.14</x:v>
      </x:c>
      <x:c r="J36" s="17" t="n">
        <x:v>38189.08</x:v>
      </x:c>
      <x:c r="K36" s="17" t="n">
        <x:v>1592.33</x:v>
      </x:c>
      <x:c r="L36" s="17" t="n">
        <x:v>1819.8</x:v>
      </x:c>
      <x:c r="M36" s="17" t="n">
        <x:v>1364.85</x:v>
      </x:c>
      <x:c r="N36" s="16" t="n">
        <x:v>19</x:v>
      </x:c>
      <x:c r="O36" s="16" t="n">
        <x:v>3</x:v>
      </x:c>
      <x:c r="P36" s="16" t="n">
        <x:v>1</x:v>
      </x:c>
      <x:c r="Q36" s="16" t="n">
        <x:v>22</x:v>
      </x:c>
      <x:c r="R36" s="16" t="n">
        <x:v>16</x:v>
      </x:c>
      <x:c r="S36" s="16" t="n">
        <x:v>2</x:v>
      </x:c>
      <x:c r="T36" s="15" t="n">
        <x:f>YEAR(A36)</x:f>
        <x:v>2023</x:v>
      </x:c>
      <x:c r="U36" s="15" t="n">
        <x:f>ROUNDUP(MONTH(A36)/3,0)</x:f>
        <x:v>1</x:v>
      </x:c>
      <x:c r="V36" s="18" t="n">
        <x:f>I36-J36</x:f>
        <x:v>37636.06</x:v>
      </x:c>
      <x:c r="W36" s="19" t="n">
        <x:f>IF(I36=0,"",V36/I36)</x:f>
        <x:v>0.4963533202840113</x:v>
      </x:c>
      <x:c r="X36" s="18" t="n">
        <x:f>I36-J36-K36-L36-M36</x:f>
        <x:v>32859.079999999994</x:v>
      </x:c>
      <x:c r="Y36" s="19" t="n">
        <x:f>IF(I36=0,"",X36/I36)</x:f>
        <x:v>0.43335337066308083</x:v>
      </x:c>
      <x:c r="Z36" s="18" t="n">
        <x:f>IF(E36=0,"",F36/E36)</x:f>
        <x:v>1158.052205882353</x:v>
      </x:c>
      <x:c r="AA36" s="18" t="n">
        <x:f>IF(N36=0,"",M36/N36)</x:f>
        <x:v>71.83421052631579</x:v>
      </x:c>
      <x:c r="AB36" s="19" t="n">
        <x:f>IF(E36=0,"",O36/E36)</x:f>
        <x:v>0.04411764705882353</x:v>
      </x:c>
      <x:c r="AC36" s="19" t="n">
        <x:f>IF(E36=0,"",P36/E36)</x:f>
        <x:v>0.014705882352941176</x:v>
      </x:c>
      <x:c r="AD36" s="20" t="n">
        <x:f>IF(Q36=0,"",100*(R36-S36)/Q36)</x:f>
        <x:v>63.63636363636363</x:v>
      </x:c>
      <x:c r="AE36" s="19" t="n">
        <x:f>IF(F36=0,"",G36/F36)</x:f>
        <x:v>0.02611116155359754</x:v>
      </x:c>
      <x:c r="AF36" s="18" t="n">
        <x:f>ROUND(I36-(F36-G36-H36),2)</x:f>
        <x:v>0</x:v>
      </x:c>
    </x:row>
    <x:row r="37" ht="24" customHeight="1">
      <x:c r="A37" s="14" t="n">
        <x:v>44986</x:v>
      </x:c>
      <x:c r="B37" s="2" t="str">
        <x:v>Lojas</x:v>
      </x:c>
      <x:c r="C37" s="2" t="str">
        <x:v>Centro-Oeste</x:v>
      </x:c>
      <x:c r="D37" s="2" t="str">
        <x:v>M-0032</x:v>
      </x:c>
      <x:c r="E37" s="16" t="n">
        <x:v>53</x:v>
      </x:c>
      <x:c r="F37" s="17" t="n">
        <x:v>61192.23</x:v>
      </x:c>
      <x:c r="G37" s="17" t="n">
        <x:v>1597.8</x:v>
      </x:c>
      <x:c r="H37" s="17" t="n">
        <x:v>673.11</x:v>
      </x:c>
      <x:c r="I37" s="17" t="n">
        <x:v>58921.32</x:v>
      </x:c>
      <x:c r="J37" s="17" t="n">
        <x:v>29544.68</x:v>
      </x:c>
      <x:c r="K37" s="17" t="n">
        <x:v>1237.35</x:v>
      </x:c>
      <x:c r="L37" s="17" t="n">
        <x:v>1414.11</x:v>
      </x:c>
      <x:c r="M37" s="17" t="n">
        <x:v>1060.58</x:v>
      </x:c>
      <x:c r="N37" s="16" t="n">
        <x:v>15</x:v>
      </x:c>
      <x:c r="O37" s="16" t="n">
        <x:v>3</x:v>
      </x:c>
      <x:c r="P37" s="16" t="n">
        <x:v>1</x:v>
      </x:c>
      <x:c r="Q37" s="16" t="n">
        <x:v>17</x:v>
      </x:c>
      <x:c r="R37" s="16" t="n">
        <x:v>12</x:v>
      </x:c>
      <x:c r="S37" s="16" t="n">
        <x:v>2</x:v>
      </x:c>
      <x:c r="T37" s="15" t="n">
        <x:f>YEAR(A37)</x:f>
        <x:v>2023</x:v>
      </x:c>
      <x:c r="U37" s="15" t="n">
        <x:f>ROUNDUP(MONTH(A37)/3,0)</x:f>
        <x:v>1</x:v>
      </x:c>
      <x:c r="V37" s="18" t="n">
        <x:f>I37-J37</x:f>
        <x:v>29376.64</x:v>
      </x:c>
      <x:c r="W37" s="19" t="n">
        <x:f>IF(I37=0,"",V37/I37)</x:f>
        <x:v>0.4985740305885883</x:v>
      </x:c>
      <x:c r="X37" s="18" t="n">
        <x:f>I37-J37-K37-L37-M37</x:f>
        <x:v>25664.6</x:v>
      </x:c>
      <x:c r="Y37" s="19" t="n">
        <x:f>IF(I37=0,"",X37/I37)</x:f>
        <x:v>0.4355740842194302</x:v>
      </x:c>
      <x:c r="Z37" s="18" t="n">
        <x:f>IF(E37=0,"",F37/E37)</x:f>
        <x:v>1154.5703773584905</x:v>
      </x:c>
      <x:c r="AA37" s="18" t="n">
        <x:f>IF(N37=0,"",M37/N37)</x:f>
        <x:v>70.70533333333333</x:v>
      </x:c>
      <x:c r="AB37" s="19" t="n">
        <x:f>IF(E37=0,"",O37/E37)</x:f>
        <x:v>0.05660377358490566</x:v>
      </x:c>
      <x:c r="AC37" s="19" t="n">
        <x:f>IF(E37=0,"",P37/E37)</x:f>
        <x:v>0.018867924528301886</x:v>
      </x:c>
      <x:c r="AD37" s="20" t="n">
        <x:f>IF(Q37=0,"",100*(R37-S37)/Q37)</x:f>
        <x:v>58.8235294117647</x:v>
      </x:c>
      <x:c r="AE37" s="19" t="n">
        <x:f>IF(F37=0,"",G37/F37)</x:f>
        <x:v>0.02611115823038317</x:v>
      </x:c>
      <x:c r="AF37" s="18" t="n">
        <x:f>ROUND(I37-(F37-G37-H37),2)</x:f>
        <x:v>0</x:v>
      </x:c>
    </x:row>
    <x:row r="38" ht="24" customHeight="1">
      <x:c r="A38" s="14" t="n">
        <x:v>44986</x:v>
      </x:c>
      <x:c r="B38" s="2" t="str">
        <x:v>B2B</x:v>
      </x:c>
      <x:c r="C38" s="2" t="str">
        <x:v>Sudeste</x:v>
      </x:c>
      <x:c r="D38" s="2" t="str">
        <x:v>M-0033</x:v>
      </x:c>
      <x:c r="E38" s="16" t="n">
        <x:v>80</x:v>
      </x:c>
      <x:c r="F38" s="17" t="n">
        <x:v>92604.91</x:v>
      </x:c>
      <x:c r="G38" s="17" t="n">
        <x:v>2418.02</x:v>
      </x:c>
      <x:c r="H38" s="17" t="n">
        <x:v>1018.65</x:v>
      </x:c>
      <x:c r="I38" s="17" t="n">
        <x:v>89168.24</x:v>
      </x:c>
      <x:c r="J38" s="17" t="n">
        <x:v>45081.27</x:v>
      </x:c>
      <x:c r="K38" s="17" t="n">
        <x:v>1872.53</x:v>
      </x:c>
      <x:c r="L38" s="17" t="n">
        <x:v>2140.04</x:v>
      </x:c>
      <x:c r="M38" s="17" t="n">
        <x:v>1605.03</x:v>
      </x:c>
      <x:c r="N38" s="16" t="n">
        <x:v>22</x:v>
      </x:c>
      <x:c r="O38" s="16" t="n">
        <x:v>4</x:v>
      </x:c>
      <x:c r="P38" s="16" t="n">
        <x:v>2</x:v>
      </x:c>
      <x:c r="Q38" s="16" t="n">
        <x:v>26</x:v>
      </x:c>
      <x:c r="R38" s="16" t="n">
        <x:v>19</x:v>
      </x:c>
      <x:c r="S38" s="16" t="n">
        <x:v>3</x:v>
      </x:c>
      <x:c r="T38" s="15" t="n">
        <x:f>YEAR(A38)</x:f>
        <x:v>2023</x:v>
      </x:c>
      <x:c r="U38" s="15" t="n">
        <x:f>ROUNDUP(MONTH(A38)/3,0)</x:f>
        <x:v>1</x:v>
      </x:c>
      <x:c r="V38" s="18" t="n">
        <x:f>I38-J38</x:f>
        <x:v>44086.97000000001</x:v>
      </x:c>
      <x:c r="W38" s="19" t="n">
        <x:f>IF(I38=0,"",V38/I38)</x:f>
        <x:v>0.4944245843587359</x:v>
      </x:c>
      <x:c r="X38" s="18" t="n">
        <x:f>I38-J38-K38-L38-M38</x:f>
        <x:v>38469.37000000001</x:v>
      </x:c>
      <x:c r="Y38" s="19" t="n">
        <x:f>IF(I38=0,"",X38/I38)</x:f>
        <x:v>0.43142457448975113</x:v>
      </x:c>
      <x:c r="Z38" s="18" t="n">
        <x:f>IF(E38=0,"",F38/E38)</x:f>
        <x:v>1157.561375</x:v>
      </x:c>
      <x:c r="AA38" s="18" t="n">
        <x:f>IF(N38=0,"",M38/N38)</x:f>
        <x:v>72.95590909090909</x:v>
      </x:c>
      <x:c r="AB38" s="19" t="n">
        <x:f>IF(E38=0,"",O38/E38)</x:f>
        <x:v>0.05</x:v>
      </x:c>
      <x:c r="AC38" s="19" t="n">
        <x:f>IF(E38=0,"",P38/E38)</x:f>
        <x:v>0.025</x:v>
      </x:c>
      <x:c r="AD38" s="20" t="n">
        <x:f>IF(Q38=0,"",100*(R38-S38)/Q38)</x:f>
        <x:v>61.53846153846154</x:v>
      </x:c>
      <x:c r="AE38" s="19" t="n">
        <x:f>IF(F38=0,"",G38/F38)</x:f>
        <x:v>0.026111142486937248</x:v>
      </x:c>
      <x:c r="AF38" s="18" t="n">
        <x:f>ROUND(I38-(F38-G38-H38),2)</x:f>
        <x:v>0</x:v>
      </x:c>
    </x:row>
    <x:row r="39" ht="24" customHeight="1">
      <x:c r="A39" s="14" t="n">
        <x:v>44986</x:v>
      </x:c>
      <x:c r="B39" s="2" t="str">
        <x:v>B2B</x:v>
      </x:c>
      <x:c r="C39" s="2" t="str">
        <x:v>Nordeste</x:v>
      </x:c>
      <x:c r="D39" s="2" t="str">
        <x:v>M-0034</x:v>
      </x:c>
      <x:c r="E39" s="16" t="n">
        <x:v>45</x:v>
      </x:c>
      <x:c r="F39" s="17" t="n">
        <x:v>52676.34</x:v>
      </x:c>
      <x:c r="G39" s="17" t="n">
        <x:v>1375.44</x:v>
      </x:c>
      <x:c r="H39" s="17" t="n">
        <x:v>579.44</x:v>
      </x:c>
      <x:c r="I39" s="17" t="n">
        <x:v>50721.46</x:v>
      </x:c>
      <x:c r="J39" s="17" t="n">
        <x:v>25631.62</x:v>
      </x:c>
      <x:c r="K39" s="17" t="n">
        <x:v>1065.15</x:v>
      </x:c>
      <x:c r="L39" s="17" t="n">
        <x:v>1217.32</x:v>
      </x:c>
      <x:c r="M39" s="17" t="n">
        <x:v>912.99</x:v>
      </x:c>
      <x:c r="N39" s="16" t="n">
        <x:v>13</x:v>
      </x:c>
      <x:c r="O39" s="16" t="n">
        <x:v>2</x:v>
      </x:c>
      <x:c r="P39" s="16" t="n">
        <x:v>1</x:v>
      </x:c>
      <x:c r="Q39" s="16" t="n">
        <x:v>14</x:v>
      </x:c>
      <x:c r="R39" s="16" t="n">
        <x:v>10</x:v>
      </x:c>
      <x:c r="S39" s="16" t="n">
        <x:v>2</x:v>
      </x:c>
      <x:c r="T39" s="15" t="n">
        <x:f>YEAR(A39)</x:f>
        <x:v>2023</x:v>
      </x:c>
      <x:c r="U39" s="15" t="n">
        <x:f>ROUNDUP(MONTH(A39)/3,0)</x:f>
        <x:v>1</x:v>
      </x:c>
      <x:c r="V39" s="18" t="n">
        <x:f>I39-J39</x:f>
        <x:v>25089.84</x:v>
      </x:c>
      <x:c r="W39" s="19" t="n">
        <x:f>IF(I39=0,"",V39/I39)</x:f>
        <x:v>0.4946592625685459</x:v>
      </x:c>
      <x:c r="X39" s="18" t="n">
        <x:f>I39-J39-K39-L39-M39</x:f>
        <x:v>21894.379999999997</x:v>
      </x:c>
      <x:c r="Y39" s="19" t="n">
        <x:f>IF(I39=0,"",X39/I39)</x:f>
        <x:v>0.431659104450069</x:v>
      </x:c>
      <x:c r="Z39" s="18" t="n">
        <x:f>IF(E39=0,"",F39/E39)</x:f>
        <x:v>1170.5853333333332</x:v>
      </x:c>
      <x:c r="AA39" s="18" t="n">
        <x:f>IF(N39=0,"",M39/N39)</x:f>
        <x:v>70.23</x:v>
      </x:c>
      <x:c r="AB39" s="19" t="n">
        <x:f>IF(E39=0,"",O39/E39)</x:f>
        <x:v>0.044444444444444446</x:v>
      </x:c>
      <x:c r="AC39" s="19" t="n">
        <x:f>IF(E39=0,"",P39/E39)</x:f>
        <x:v>0.022222222222222223</x:v>
      </x:c>
      <x:c r="AD39" s="20" t="n">
        <x:f>IF(Q39=0,"",100*(R39-S39)/Q39)</x:f>
        <x:v>57.142857142857146</x:v>
      </x:c>
      <x:c r="AE39" s="19" t="n">
        <x:f>IF(F39=0,"",G39/F39)</x:f>
        <x:v>0.02611115350838726</x:v>
      </x:c>
      <x:c r="AF39" s="18" t="n">
        <x:f>ROUND(I39-(F39-G39-H39),2)</x:f>
        <x:v>0</x:v>
      </x:c>
    </x:row>
    <x:row r="40" ht="24" customHeight="1">
      <x:c r="A40" s="14" t="n">
        <x:v>44986</x:v>
      </x:c>
      <x:c r="B40" s="2" t="str">
        <x:v>B2B</x:v>
      </x:c>
      <x:c r="C40" s="2" t="str">
        <x:v>Sul</x:v>
      </x:c>
      <x:c r="D40" s="2" t="str">
        <x:v>M-0035</x:v>
      </x:c>
      <x:c r="E40" s="16" t="n">
        <x:v>38</x:v>
      </x:c>
      <x:c r="F40" s="17" t="n">
        <x:v>44639.5</x:v>
      </x:c>
      <x:c r="G40" s="17" t="n">
        <x:v>1165.59</x:v>
      </x:c>
      <x:c r="H40" s="17" t="n">
        <x:v>491.03</x:v>
      </x:c>
      <x:c r="I40" s="17" t="n">
        <x:v>42982.88</x:v>
      </x:c>
      <x:c r="J40" s="17" t="n">
        <x:v>23204.51</x:v>
      </x:c>
      <x:c r="K40" s="17" t="n">
        <x:v>902.64</x:v>
      </x:c>
      <x:c r="L40" s="17" t="n">
        <x:v>1031.59</x:v>
      </x:c>
      <x:c r="M40" s="17" t="n">
        <x:v>773.69</x:v>
      </x:c>
      <x:c r="N40" s="16" t="n">
        <x:v>11</x:v>
      </x:c>
      <x:c r="O40" s="16" t="n">
        <x:v>2</x:v>
      </x:c>
      <x:c r="P40" s="16" t="n">
        <x:v>1</x:v>
      </x:c>
      <x:c r="Q40" s="16" t="n">
        <x:v>12</x:v>
      </x:c>
      <x:c r="R40" s="16" t="n">
        <x:v>9</x:v>
      </x:c>
      <x:c r="S40" s="16" t="n">
        <x:v>1</x:v>
      </x:c>
      <x:c r="T40" s="15" t="n">
        <x:f>YEAR(A40)</x:f>
        <x:v>2023</x:v>
      </x:c>
      <x:c r="U40" s="15" t="n">
        <x:f>ROUNDUP(MONTH(A40)/3,0)</x:f>
        <x:v>1</x:v>
      </x:c>
      <x:c r="V40" s="18" t="n">
        <x:f>I40-J40</x:f>
        <x:v>19778.37</x:v>
      </x:c>
      <x:c r="W40" s="19" t="n">
        <x:f>IF(I40=0,"",V40/I40)</x:f>
        <x:v>0.46014529505700874</x:v>
      </x:c>
      <x:c r="X40" s="18" t="n">
        <x:f>I40-J40-K40-L40-M40</x:f>
        <x:v>17070.45</x:v>
      </x:c>
      <x:c r="Y40" s="19" t="n">
        <x:f>IF(I40=0,"",X40/I40)</x:f>
        <x:v>0.39714532855871926</x:v>
      </x:c>
      <x:c r="Z40" s="18" t="n">
        <x:f>IF(E40=0,"",F40/E40)</x:f>
        <x:v>1174.7236842105262</x:v>
      </x:c>
      <x:c r="AA40" s="18" t="n">
        <x:f>IF(N40=0,"",M40/N40)</x:f>
        <x:v>70.33545454545455</x:v>
      </x:c>
      <x:c r="AB40" s="19" t="n">
        <x:f>IF(E40=0,"",O40/E40)</x:f>
        <x:v>0.05263157894736842</x:v>
      </x:c>
      <x:c r="AC40" s="19" t="n">
        <x:f>IF(E40=0,"",P40/E40)</x:f>
        <x:v>0.02631578947368421</x:v>
      </x:c>
      <x:c r="AD40" s="20" t="n">
        <x:f>IF(Q40=0,"",100*(R40-S40)/Q40)</x:f>
        <x:v>66.66666666666667</x:v>
      </x:c>
      <x:c r="AE40" s="19" t="n">
        <x:f>IF(F40=0,"",G40/F40)</x:f>
        <x:v>0.02611117956070296</x:v>
      </x:c>
      <x:c r="AF40" s="18" t="n">
        <x:f>ROUND(I40-(F40-G40-H40),2)</x:f>
        <x:v>0</x:v>
      </x:c>
    </x:row>
    <x:row r="41" ht="24" customHeight="1">
      <x:c r="A41" s="14" t="n">
        <x:v>44986</x:v>
      </x:c>
      <x:c r="B41" s="2" t="str">
        <x:v>B2B</x:v>
      </x:c>
      <x:c r="C41" s="2" t="str">
        <x:v>Centro-Oeste</x:v>
      </x:c>
      <x:c r="D41" s="2" t="str">
        <x:v>M-0036</x:v>
      </x:c>
      <x:c r="E41" s="16" t="n">
        <x:v>31</x:v>
      </x:c>
      <x:c r="F41" s="17" t="n">
        <x:v>36268.68</x:v>
      </x:c>
      <x:c r="G41" s="17" t="n">
        <x:v>947.02</x:v>
      </x:c>
      <x:c r="H41" s="17" t="n">
        <x:v>398.96</x:v>
      </x:c>
      <x:c r="I41" s="17" t="n">
        <x:v>34922.7</x:v>
      </x:c>
      <x:c r="J41" s="17" t="n">
        <x:v>18795.21</x:v>
      </x:c>
      <x:c r="K41" s="17" t="n">
        <x:v>733.38</x:v>
      </x:c>
      <x:c r="L41" s="17" t="n">
        <x:v>838.14</x:v>
      </x:c>
      <x:c r="M41" s="17" t="n">
        <x:v>628.61</x:v>
      </x:c>
      <x:c r="N41" s="16" t="n">
        <x:v>9</x:v>
      </x:c>
      <x:c r="O41" s="16" t="n">
        <x:v>1</x:v>
      </x:c>
      <x:c r="P41" s="16" t="n">
        <x:v>1</x:v>
      </x:c>
      <x:c r="Q41" s="16" t="n">
        <x:v>10</x:v>
      </x:c>
      <x:c r="R41" s="16" t="n">
        <x:v>7</x:v>
      </x:c>
      <x:c r="S41" s="16" t="n">
        <x:v>1</x:v>
      </x:c>
      <x:c r="T41" s="15" t="n">
        <x:f>YEAR(A41)</x:f>
        <x:v>2023</x:v>
      </x:c>
      <x:c r="U41" s="15" t="n">
        <x:f>ROUNDUP(MONTH(A41)/3,0)</x:f>
        <x:v>1</x:v>
      </x:c>
      <x:c r="V41" s="18" t="n">
        <x:f>I41-J41</x:f>
        <x:v>16127.489999999998</x:v>
      </x:c>
      <x:c r="W41" s="19" t="n">
        <x:f>IF(I41=0,"",V41/I41)</x:f>
        <x:v>0.4618053586921973</x:v>
      </x:c>
      <x:c r="X41" s="18" t="n">
        <x:f>I41-J41-K41-L41-M41</x:f>
        <x:v>13927.359999999999</x:v>
      </x:c>
      <x:c r="Y41" s="19" t="n">
        <x:f>IF(I41=0,"",X41/I41)</x:f>
        <x:v>0.3988053615556644</x:v>
      </x:c>
      <x:c r="Z41" s="18" t="n">
        <x:f>IF(E41=0,"",F41/E41)</x:f>
        <x:v>1169.9574193548387</x:v>
      </x:c>
      <x:c r="AA41" s="18" t="n">
        <x:f>IF(N41=0,"",M41/N41)</x:f>
        <x:v>69.84555555555556</x:v>
      </x:c>
      <x:c r="AB41" s="19" t="n">
        <x:f>IF(E41=0,"",O41/E41)</x:f>
        <x:v>0.03225806451612903</x:v>
      </x:c>
      <x:c r="AC41" s="19" t="n">
        <x:f>IF(E41=0,"",P41/E41)</x:f>
        <x:v>0.03225806451612903</x:v>
      </x:c>
      <x:c r="AD41" s="20" t="n">
        <x:f>IF(Q41=0,"",100*(R41-S41)/Q41)</x:f>
        <x:v>60</x:v>
      </x:c>
      <x:c r="AE41" s="19" t="n">
        <x:f>IF(F41=0,"",G41/F41)</x:f>
        <x:v>0.026111234266038907</x:v>
      </x:c>
      <x:c r="AF41" s="18" t="n">
        <x:f>ROUND(I41-(F41-G41-H41),2)</x:f>
        <x:v>0</x:v>
      </x:c>
    </x:row>
    <x:row r="42" ht="24" customHeight="1">
      <x:c r="A42" s="14" t="n">
        <x:v>45017</x:v>
      </x:c>
      <x:c r="B42" s="2" t="str">
        <x:v>E-commerce</x:v>
      </x:c>
      <x:c r="C42" s="2" t="str">
        <x:v>Sudeste</x:v>
      </x:c>
      <x:c r="D42" s="2" t="str">
        <x:v>M-0037</x:v>
      </x:c>
      <x:c r="E42" s="16" t="n">
        <x:v>144</x:v>
      </x:c>
      <x:c r="F42" s="17" t="n">
        <x:v>167746.01</x:v>
      </x:c>
      <x:c r="G42" s="17" t="n">
        <x:v>4473.23</x:v>
      </x:c>
      <x:c r="H42" s="17" t="n">
        <x:v>1929.08</x:v>
      </x:c>
      <x:c r="I42" s="17" t="n">
        <x:v>161343.7</x:v>
      </x:c>
      <x:c r="J42" s="17" t="n">
        <x:v>87479.3</x:v>
      </x:c>
      <x:c r="K42" s="17" t="n">
        <x:v>6937.78</x:v>
      </x:c>
      <x:c r="L42" s="17" t="n">
        <x:v>3872.25</x:v>
      </x:c>
      <x:c r="M42" s="17" t="n">
        <x:v>12100.78</x:v>
      </x:c>
      <x:c r="N42" s="16" t="n">
        <x:v>75</x:v>
      </x:c>
      <x:c r="O42" s="16" t="n">
        <x:v>7</x:v>
      </x:c>
      <x:c r="P42" s="16" t="n">
        <x:v>3</x:v>
      </x:c>
      <x:c r="Q42" s="16" t="n">
        <x:v>46</x:v>
      </x:c>
      <x:c r="R42" s="16" t="n">
        <x:v>33</x:v>
      </x:c>
      <x:c r="S42" s="16" t="n">
        <x:v>5</x:v>
      </x:c>
      <x:c r="T42" s="15" t="n">
        <x:f>YEAR(A42)</x:f>
        <x:v>2023</x:v>
      </x:c>
      <x:c r="U42" s="15" t="n">
        <x:f>ROUNDUP(MONTH(A42)/3,0)</x:f>
        <x:v>2</x:v>
      </x:c>
      <x:c r="V42" s="18" t="n">
        <x:f>I42-J42</x:f>
        <x:v>73864.40000000001</x:v>
      </x:c>
      <x:c r="W42" s="19" t="n">
        <x:f>IF(I42=0,"",V42/I42)</x:f>
        <x:v>0.45780777309557175</x:v>
      </x:c>
      <x:c r="X42" s="18" t="n">
        <x:f>I42-J42-K42-L42-M42</x:f>
        <x:v>50953.59000000001</x:v>
      </x:c>
      <x:c r="Y42" s="19" t="n">
        <x:f>IF(I42=0,"",X42/I42)</x:f>
        <x:v>0.3158077445850071</x:v>
      </x:c>
      <x:c r="Z42" s="18" t="n">
        <x:f>IF(E42=0,"",F42/E42)</x:f>
        <x:v>1164.9028472222224</x:v>
      </x:c>
      <x:c r="AA42" s="18" t="n">
        <x:f>IF(N42=0,"",M42/N42)</x:f>
        <x:v>161.34373333333335</x:v>
      </x:c>
      <x:c r="AB42" s="19" t="n">
        <x:f>IF(E42=0,"",O42/E42)</x:f>
        <x:v>0.04861111111111111</x:v>
      </x:c>
      <x:c r="AC42" s="19" t="n">
        <x:f>IF(E42=0,"",P42/E42)</x:f>
        <x:v>0.020833333333333332</x:v>
      </x:c>
      <x:c r="AD42" s="20" t="n">
        <x:f>IF(Q42=0,"",100*(R42-S42)/Q42)</x:f>
        <x:v>60.869565217391305</x:v>
      </x:c>
      <x:c r="AE42" s="19" t="n">
        <x:f>IF(F42=0,"",G42/F42)</x:f>
        <x:v>0.02666668494827388</x:v>
      </x:c>
      <x:c r="AF42" s="18" t="n">
        <x:f>ROUND(I42-(F42-G42-H42),2)</x:f>
        <x:v>0</x:v>
      </x:c>
    </x:row>
    <x:row r="43" ht="24" customHeight="1">
      <x:c r="A43" s="14" t="n">
        <x:v>45017</x:v>
      </x:c>
      <x:c r="B43" s="2" t="str">
        <x:v>E-commerce</x:v>
      </x:c>
      <x:c r="C43" s="2" t="str">
        <x:v>Nordeste</x:v>
      </x:c>
      <x:c r="D43" s="2" t="str">
        <x:v>M-0038</x:v>
      </x:c>
      <x:c r="E43" s="16" t="n">
        <x:v>101</x:v>
      </x:c>
      <x:c r="F43" s="17" t="n">
        <x:v>117284.4</x:v>
      </x:c>
      <x:c r="G43" s="17" t="n">
        <x:v>3127.58</x:v>
      </x:c>
      <x:c r="H43" s="17" t="n">
        <x:v>1348.77</x:v>
      </x:c>
      <x:c r="I43" s="17" t="n">
        <x:v>112808.05</x:v>
      </x:c>
      <x:c r="J43" s="17" t="n">
        <x:v>59008.02</x:v>
      </x:c>
      <x:c r="K43" s="17" t="n">
        <x:v>4850.75</x:v>
      </x:c>
      <x:c r="L43" s="17" t="n">
        <x:v>2707.39</x:v>
      </x:c>
      <x:c r="M43" s="17" t="n">
        <x:v>8460.6</x:v>
      </x:c>
      <x:c r="N43" s="16" t="n">
        <x:v>53</x:v>
      </x:c>
      <x:c r="O43" s="16" t="n">
        <x:v>5</x:v>
      </x:c>
      <x:c r="P43" s="16" t="n">
        <x:v>2</x:v>
      </x:c>
      <x:c r="Q43" s="16" t="n">
        <x:v>32</x:v>
      </x:c>
      <x:c r="R43" s="16" t="n">
        <x:v>23</x:v>
      </x:c>
      <x:c r="S43" s="16" t="n">
        <x:v>4</x:v>
      </x:c>
      <x:c r="T43" s="15" t="n">
        <x:f>YEAR(A43)</x:f>
        <x:v>2023</x:v>
      </x:c>
      <x:c r="U43" s="15" t="n">
        <x:f>ROUNDUP(MONTH(A43)/3,0)</x:f>
        <x:v>2</x:v>
      </x:c>
      <x:c r="V43" s="18" t="n">
        <x:f>I43-J43</x:f>
        <x:v>53800.030000000006</x:v>
      </x:c>
      <x:c r="W43" s="19" t="n">
        <x:f>IF(I43=0,"",V43/I43)</x:f>
        <x:v>0.4769165852968827</x:v>
      </x:c>
      <x:c r="X43" s="18" t="n">
        <x:f>I43-J43-K43-L43-M43</x:f>
        <x:v>37781.29000000001</x:v>
      </x:c>
      <x:c r="Y43" s="19" t="n">
        <x:f>IF(I43=0,"",X43/I43)</x:f>
        <x:v>0.33491661277719104</x:v>
      </x:c>
      <x:c r="Z43" s="18" t="n">
        <x:f>IF(E43=0,"",F43/E43)</x:f>
        <x:v>1161.2316831683167</x:v>
      </x:c>
      <x:c r="AA43" s="18" t="n">
        <x:f>IF(N43=0,"",M43/N43)</x:f>
        <x:v>159.63396226415094</x:v>
      </x:c>
      <x:c r="AB43" s="19" t="n">
        <x:f>IF(E43=0,"",O43/E43)</x:f>
        <x:v>0.04950495049504951</x:v>
      </x:c>
      <x:c r="AC43" s="19" t="n">
        <x:f>IF(E43=0,"",P43/E43)</x:f>
        <x:v>0.019801980198019802</x:v>
      </x:c>
      <x:c r="AD43" s="20" t="n">
        <x:f>IF(Q43=0,"",100*(R43-S43)/Q43)</x:f>
        <x:v>59.375</x:v>
      </x:c>
      <x:c r="AE43" s="19" t="n">
        <x:f>IF(F43=0,"",G43/F43)</x:f>
        <x:v>0.026666632561534186</x:v>
      </x:c>
      <x:c r="AF43" s="18" t="n">
        <x:f>ROUND(I43-(F43-G43-H43),2)</x:f>
        <x:v>0</x:v>
      </x:c>
    </x:row>
    <x:row r="44" ht="24" customHeight="1">
      <x:c r="A44" s="14" t="n">
        <x:v>45017</x:v>
      </x:c>
      <x:c r="B44" s="2" t="str">
        <x:v>E-commerce</x:v>
      </x:c>
      <x:c r="C44" s="2" t="str">
        <x:v>Sul</x:v>
      </x:c>
      <x:c r="D44" s="2" t="str">
        <x:v>M-0039</x:v>
      </x:c>
      <x:c r="E44" s="16" t="n">
        <x:v>72</x:v>
      </x:c>
      <x:c r="F44" s="17" t="n">
        <x:v>84023.91</x:v>
      </x:c>
      <x:c r="G44" s="17" t="n">
        <x:v>2240.64</x:v>
      </x:c>
      <x:c r="H44" s="17" t="n">
        <x:v>966.27</x:v>
      </x:c>
      <x:c r="I44" s="17" t="n">
        <x:v>80817</x:v>
      </x:c>
      <x:c r="J44" s="17" t="n">
        <x:v>41674.8</x:v>
      </x:c>
      <x:c r="K44" s="17" t="n">
        <x:v>3475.13</x:v>
      </x:c>
      <x:c r="L44" s="17" t="n">
        <x:v>1939.61</x:v>
      </x:c>
      <x:c r="M44" s="17" t="n">
        <x:v>6061.28</x:v>
      </x:c>
      <x:c r="N44" s="16" t="n">
        <x:v>37</x:v>
      </x:c>
      <x:c r="O44" s="16" t="n">
        <x:v>4</x:v>
      </x:c>
      <x:c r="P44" s="16" t="n">
        <x:v>1</x:v>
      </x:c>
      <x:c r="Q44" s="16" t="n">
        <x:v>23</x:v>
      </x:c>
      <x:c r="R44" s="16" t="n">
        <x:v>17</x:v>
      </x:c>
      <x:c r="S44" s="16" t="n">
        <x:v>3</x:v>
      </x:c>
      <x:c r="T44" s="15" t="n">
        <x:f>YEAR(A44)</x:f>
        <x:v>2023</x:v>
      </x:c>
      <x:c r="U44" s="15" t="n">
        <x:f>ROUNDUP(MONTH(A44)/3,0)</x:f>
        <x:v>2</x:v>
      </x:c>
      <x:c r="V44" s="18" t="n">
        <x:f>I44-J44</x:f>
        <x:v>39142.2</x:v>
      </x:c>
      <x:c r="W44" s="19" t="n">
        <x:f>IF(I44=0,"",V44/I44)</x:f>
        <x:v>0.4843312669364119</x:v>
      </x:c>
      <x:c r="X44" s="18" t="n">
        <x:f>I44-J44-K44-L44-M44</x:f>
        <x:v>27666.18</x:v>
      </x:c>
      <x:c r="Y44" s="19" t="n">
        <x:f>IF(I44=0,"",X44/I44)</x:f>
        <x:v>0.3423311926946063</x:v>
      </x:c>
      <x:c r="Z44" s="18" t="n">
        <x:f>IF(E44=0,"",F44/E44)</x:f>
        <x:v>1166.99875</x:v>
      </x:c>
      <x:c r="AA44" s="18" t="n">
        <x:f>IF(N44=0,"",M44/N44)</x:f>
        <x:v>163.81837837837838</x:v>
      </x:c>
      <x:c r="AB44" s="19" t="n">
        <x:f>IF(E44=0,"",O44/E44)</x:f>
        <x:v>0.05555555555555555</x:v>
      </x:c>
      <x:c r="AC44" s="19" t="n">
        <x:f>IF(E44=0,"",P44/E44)</x:f>
        <x:v>0.013888888888888888</x:v>
      </x:c>
      <x:c r="AD44" s="20" t="n">
        <x:f>IF(Q44=0,"",100*(R44-S44)/Q44)</x:f>
        <x:v>60.869565217391305</x:v>
      </x:c>
      <x:c r="AE44" s="19" t="n">
        <x:f>IF(F44=0,"",G44/F44)</x:f>
        <x:v>0.026666695229964895</x:v>
      </x:c>
      <x:c r="AF44" s="18" t="n">
        <x:f>ROUND(I44-(F44-G44-H44),2)</x:f>
        <x:v>0</x:v>
      </x:c>
    </x:row>
    <x:row r="45" ht="24" customHeight="1">
      <x:c r="A45" s="14" t="n">
        <x:v>45017</x:v>
      </x:c>
      <x:c r="B45" s="2" t="str">
        <x:v>E-commerce</x:v>
      </x:c>
      <x:c r="C45" s="2" t="str">
        <x:v>Centro-Oeste</x:v>
      </x:c>
      <x:c r="D45" s="2" t="str">
        <x:v>M-0040</x:v>
      </x:c>
      <x:c r="E45" s="16" t="n">
        <x:v>59</x:v>
      </x:c>
      <x:c r="F45" s="17" t="n">
        <x:v>68230.3</x:v>
      </x:c>
      <x:c r="G45" s="17" t="n">
        <x:v>1819.47</x:v>
      </x:c>
      <x:c r="H45" s="17" t="n">
        <x:v>784.65</x:v>
      </x:c>
      <x:c r="I45" s="17" t="n">
        <x:v>65626.18</x:v>
      </x:c>
      <x:c r="J45" s="17" t="n">
        <x:v>33246.14</x:v>
      </x:c>
      <x:c r="K45" s="17" t="n">
        <x:v>2821.93</x:v>
      </x:c>
      <x:c r="L45" s="17" t="n">
        <x:v>1575.03</x:v>
      </x:c>
      <x:c r="M45" s="17" t="n">
        <x:v>4921.96</x:v>
      </x:c>
      <x:c r="N45" s="16" t="n">
        <x:v>31</x:v>
      </x:c>
      <x:c r="O45" s="16" t="n">
        <x:v>3</x:v>
      </x:c>
      <x:c r="P45" s="16" t="n">
        <x:v>1</x:v>
      </x:c>
      <x:c r="Q45" s="16" t="n">
        <x:v>19</x:v>
      </x:c>
      <x:c r="R45" s="16" t="n">
        <x:v>14</x:v>
      </x:c>
      <x:c r="S45" s="16" t="n">
        <x:v>2</x:v>
      </x:c>
      <x:c r="T45" s="15" t="n">
        <x:f>YEAR(A45)</x:f>
        <x:v>2023</x:v>
      </x:c>
      <x:c r="U45" s="15" t="n">
        <x:f>ROUNDUP(MONTH(A45)/3,0)</x:f>
        <x:v>2</x:v>
      </x:c>
      <x:c r="V45" s="18" t="n">
        <x:f>I45-J45</x:f>
        <x:v>32380.039999999994</x:v>
      </x:c>
      <x:c r="W45" s="19" t="n">
        <x:f>IF(I45=0,"",V45/I45)</x:f>
        <x:v>0.4934012615087454</x:v>
      </x:c>
      <x:c r="X45" s="18" t="n">
        <x:f>I45-J45-K45-L45-M45</x:f>
        <x:v>23061.119999999995</x:v>
      </x:c>
      <x:c r="Y45" s="19" t="n">
        <x:f>IF(I45=0,"",X45/I45)</x:f>
        <x:v>0.35140122432846155</x:v>
      </x:c>
      <x:c r="Z45" s="18" t="n">
        <x:f>IF(E45=0,"",F45/E45)</x:f>
        <x:v>1156.4457627118645</x:v>
      </x:c>
      <x:c r="AA45" s="18" t="n">
        <x:f>IF(N45=0,"",M45/N45)</x:f>
        <x:v>158.77290322580646</x:v>
      </x:c>
      <x:c r="AB45" s="19" t="n">
        <x:f>IF(E45=0,"",O45/E45)</x:f>
        <x:v>0.05084745762711865</x:v>
      </x:c>
      <x:c r="AC45" s="19" t="n">
        <x:f>IF(E45=0,"",P45/E45)</x:f>
        <x:v>0.01694915254237288</x:v>
      </x:c>
      <x:c r="AD45" s="20" t="n">
        <x:f>IF(Q45=0,"",100*(R45-S45)/Q45)</x:f>
        <x:v>63.1578947368421</x:v>
      </x:c>
      <x:c r="AE45" s="19" t="n">
        <x:f>IF(F45=0,"",G45/F45)</x:f>
        <x:v>0.026666598270856202</x:v>
      </x:c>
      <x:c r="AF45" s="18" t="n">
        <x:f>ROUND(I45-(F45-G45-H45),2)</x:f>
        <x:v>0</x:v>
      </x:c>
    </x:row>
    <x:row r="46" ht="24" customHeight="1">
      <x:c r="A46" s="14" t="n">
        <x:v>45017</x:v>
      </x:c>
      <x:c r="B46" s="2" t="str">
        <x:v>Lojas</x:v>
      </x:c>
      <x:c r="C46" s="2" t="str">
        <x:v>Sudeste</x:v>
      </x:c>
      <x:c r="D46" s="2" t="str">
        <x:v>M-0041</x:v>
      </x:c>
      <x:c r="E46" s="16" t="n">
        <x:v>114</x:v>
      </x:c>
      <x:c r="F46" s="17" t="n">
        <x:v>132121.41</x:v>
      </x:c>
      <x:c r="G46" s="17" t="n">
        <x:v>3523.24</x:v>
      </x:c>
      <x:c r="H46" s="17" t="n">
        <x:v>1519.4</x:v>
      </x:c>
      <x:c r="I46" s="17" t="n">
        <x:v>127078.77</x:v>
      </x:c>
      <x:c r="J46" s="17" t="n">
        <x:v>63991.77</x:v>
      </x:c>
      <x:c r="K46" s="17" t="n">
        <x:v>2795.73</x:v>
      </x:c>
      <x:c r="L46" s="17" t="n">
        <x:v>3049.89</x:v>
      </x:c>
      <x:c r="M46" s="17" t="n">
        <x:v>2287.42</x:v>
      </x:c>
      <x:c r="N46" s="16" t="n">
        <x:v>32</x:v>
      </x:c>
      <x:c r="O46" s="16" t="n">
        <x:v>6</x:v>
      </x:c>
      <x:c r="P46" s="16" t="n">
        <x:v>2</x:v>
      </x:c>
      <x:c r="Q46" s="16" t="n">
        <x:v>36</x:v>
      </x:c>
      <x:c r="R46" s="16" t="n">
        <x:v>26</x:v>
      </x:c>
      <x:c r="S46" s="16" t="n">
        <x:v>4</x:v>
      </x:c>
      <x:c r="T46" s="15" t="n">
        <x:f>YEAR(A46)</x:f>
        <x:v>2023</x:v>
      </x:c>
      <x:c r="U46" s="15" t="n">
        <x:f>ROUNDUP(MONTH(A46)/3,0)</x:f>
        <x:v>2</x:v>
      </x:c>
      <x:c r="V46" s="18" t="n">
        <x:f>I46-J46</x:f>
        <x:v>63087.00000000001</x:v>
      </x:c>
      <x:c r="W46" s="19" t="n">
        <x:f>IF(I46=0,"",V46/I46)</x:f>
        <x:v>0.4964401213515051</x:v>
      </x:c>
      <x:c r="X46" s="18" t="n">
        <x:f>I46-J46-K46-L46-M46</x:f>
        <x:v>54953.96000000001</x:v>
      </x:c>
      <x:c r="Y46" s="19" t="n">
        <x:f>IF(I46=0,"",X46/I46)</x:f>
        <x:v>0.4324401314239979</x:v>
      </x:c>
      <x:c r="Z46" s="18" t="n">
        <x:f>IF(E46=0,"",F46/E46)</x:f>
        <x:v>1158.9597368421053</x:v>
      </x:c>
      <x:c r="AA46" s="18" t="n">
        <x:f>IF(N46=0,"",M46/N46)</x:f>
        <x:v>71.481875</x:v>
      </x:c>
      <x:c r="AB46" s="19" t="n">
        <x:f>IF(E46=0,"",O46/E46)</x:f>
        <x:v>0.05263157894736842</x:v>
      </x:c>
      <x:c r="AC46" s="19" t="n">
        <x:f>IF(E46=0,"",P46/E46)</x:f>
        <x:v>0.017543859649122806</x:v>
      </x:c>
      <x:c r="AD46" s="20" t="n">
        <x:f>IF(Q46=0,"",100*(R46-S46)/Q46)</x:f>
        <x:v>61.111111111111114</x:v>
      </x:c>
      <x:c r="AE46" s="19" t="n">
        <x:f>IF(F46=0,"",G46/F46)</x:f>
        <x:v>0.026666684831777074</x:v>
      </x:c>
      <x:c r="AF46" s="18" t="n">
        <x:f>ROUND(I46-(F46-G46-H46),2)</x:f>
        <x:v>0</x:v>
      </x:c>
    </x:row>
    <x:row r="47" ht="24" customHeight="1">
      <x:c r="A47" s="14" t="n">
        <x:v>45017</x:v>
      </x:c>
      <x:c r="B47" s="2" t="str">
        <x:v>Lojas</x:v>
      </x:c>
      <x:c r="C47" s="2" t="str">
        <x:v>Nordeste</x:v>
      </x:c>
      <x:c r="D47" s="2" t="str">
        <x:v>M-0042</x:v>
      </x:c>
      <x:c r="E47" s="16" t="n">
        <x:v>87</x:v>
      </x:c>
      <x:c r="F47" s="17" t="n">
        <x:v>101640.09</x:v>
      </x:c>
      <x:c r="G47" s="17" t="n">
        <x:v>2710.4</x:v>
      </x:c>
      <x:c r="H47" s="17" t="n">
        <x:v>1168.86</x:v>
      </x:c>
      <x:c r="I47" s="17" t="n">
        <x:v>97760.83</x:v>
      </x:c>
      <x:c r="J47" s="17" t="n">
        <x:v>48788.96</x:v>
      </x:c>
      <x:c r="K47" s="17" t="n">
        <x:v>2150.74</x:v>
      </x:c>
      <x:c r="L47" s="17" t="n">
        <x:v>2346.26</x:v>
      </x:c>
      <x:c r="M47" s="17" t="n">
        <x:v>1759.69</x:v>
      </x:c>
      <x:c r="N47" s="16" t="n">
        <x:v>24</x:v>
      </x:c>
      <x:c r="O47" s="16" t="n">
        <x:v>5</x:v>
      </x:c>
      <x:c r="P47" s="16" t="n">
        <x:v>2</x:v>
      </x:c>
      <x:c r="Q47" s="16" t="n">
        <x:v>28</x:v>
      </x:c>
      <x:c r="R47" s="16" t="n">
        <x:v>20</x:v>
      </x:c>
      <x:c r="S47" s="16" t="n">
        <x:v>3</x:v>
      </x:c>
      <x:c r="T47" s="15" t="n">
        <x:f>YEAR(A47)</x:f>
        <x:v>2023</x:v>
      </x:c>
      <x:c r="U47" s="15" t="n">
        <x:f>ROUNDUP(MONTH(A47)/3,0)</x:f>
        <x:v>2</x:v>
      </x:c>
      <x:c r="V47" s="18" t="n">
        <x:f>I47-J47</x:f>
        <x:v>48971.87</x:v>
      </x:c>
      <x:c r="W47" s="19" t="n">
        <x:f>IF(I47=0,"",V47/I47)</x:f>
        <x:v>0.5009354973766078</x:v>
      </x:c>
      <x:c r="X47" s="18" t="n">
        <x:f>I47-J47-K47-L47-M47</x:f>
        <x:v>42715.18</x:v>
      </x:c>
      <x:c r="Y47" s="19" t="n">
        <x:f>IF(I47=0,"",X47/I47)</x:f>
        <x:v>0.4369355292912304</x:v>
      </x:c>
      <x:c r="Z47" s="18" t="n">
        <x:f>IF(E47=0,"",F47/E47)</x:f>
        <x:v>1168.2768965517241</x:v>
      </x:c>
      <x:c r="AA47" s="18" t="n">
        <x:f>IF(N47=0,"",M47/N47)</x:f>
        <x:v>73.32041666666667</x:v>
      </x:c>
      <x:c r="AB47" s="19" t="n">
        <x:f>IF(E47=0,"",O47/E47)</x:f>
        <x:v>0.05747126436781609</x:v>
      </x:c>
      <x:c r="AC47" s="19" t="n">
        <x:f>IF(E47=0,"",P47/E47)</x:f>
        <x:v>0.022988505747126436</x:v>
      </x:c>
      <x:c r="AD47" s="20" t="n">
        <x:f>IF(Q47=0,"",100*(R47-S47)/Q47)</x:f>
        <x:v>60.714285714285715</x:v>
      </x:c>
      <x:c r="AE47" s="19" t="n">
        <x:f>IF(F47=0,"",G47/F47)</x:f>
        <x:v>0.026666643053936692</x:v>
      </x:c>
      <x:c r="AF47" s="18" t="n">
        <x:f>ROUND(I47-(F47-G47-H47),2)</x:f>
        <x:v>0</x:v>
      </x:c>
    </x:row>
    <x:row r="48" ht="24" customHeight="1">
      <x:c r="A48" s="14" t="n">
        <x:v>45017</x:v>
      </x:c>
      <x:c r="B48" s="2" t="str">
        <x:v>Lojas</x:v>
      </x:c>
      <x:c r="C48" s="2" t="str">
        <x:v>Sul</x:v>
      </x:c>
      <x:c r="D48" s="2" t="str">
        <x:v>M-0043</x:v>
      </x:c>
      <x:c r="E48" s="16" t="n">
        <x:v>66</x:v>
      </x:c>
      <x:c r="F48" s="17" t="n">
        <x:v>76935.34</x:v>
      </x:c>
      <x:c r="G48" s="17" t="n">
        <x:v>2051.61</x:v>
      </x:c>
      <x:c r="H48" s="17" t="n">
        <x:v>884.76</x:v>
      </x:c>
      <x:c r="I48" s="17" t="n">
        <x:v>73998.97</x:v>
      </x:c>
      <x:c r="J48" s="17" t="n">
        <x:v>36968.87</x:v>
      </x:c>
      <x:c r="K48" s="17" t="n">
        <x:v>1627.98</x:v>
      </x:c>
      <x:c r="L48" s="17" t="n">
        <x:v>1775.98</x:v>
      </x:c>
      <x:c r="M48" s="17" t="n">
        <x:v>1331.98</x:v>
      </x:c>
      <x:c r="N48" s="16" t="n">
        <x:v>18</x:v>
      </x:c>
      <x:c r="O48" s="16" t="n">
        <x:v>3</x:v>
      </x:c>
      <x:c r="P48" s="16" t="n">
        <x:v>1</x:v>
      </x:c>
      <x:c r="Q48" s="16" t="n">
        <x:v>21</x:v>
      </x:c>
      <x:c r="R48" s="16" t="n">
        <x:v>15</x:v>
      </x:c>
      <x:c r="S48" s="16" t="n">
        <x:v>2</x:v>
      </x:c>
      <x:c r="T48" s="15" t="n">
        <x:f>YEAR(A48)</x:f>
        <x:v>2023</x:v>
      </x:c>
      <x:c r="U48" s="15" t="n">
        <x:f>ROUNDUP(MONTH(A48)/3,0)</x:f>
        <x:v>2</x:v>
      </x:c>
      <x:c r="V48" s="18" t="n">
        <x:f>I48-J48</x:f>
        <x:v>37030.1</x:v>
      </x:c>
      <x:c r="W48" s="19" t="n">
        <x:f>IF(I48=0,"",V48/I48)</x:f>
        <x:v>0.5004137219747788</x:v>
      </x:c>
      <x:c r="X48" s="18" t="n">
        <x:f>I48-J48-K48-L48-M48</x:f>
        <x:v>32294.159999999993</x:v>
      </x:c>
      <x:c r="Y48" s="19" t="n">
        <x:f>IF(I48=0,"",X48/I48)</x:f>
        <x:v>0.4364136419736652</x:v>
      </x:c>
      <x:c r="Z48" s="18" t="n">
        <x:f>IF(E48=0,"",F48/E48)</x:f>
        <x:v>1165.6869696969698</x:v>
      </x:c>
      <x:c r="AA48" s="18" t="n">
        <x:f>IF(N48=0,"",M48/N48)</x:f>
        <x:v>73.99888888888889</x:v>
      </x:c>
      <x:c r="AB48" s="19" t="n">
        <x:f>IF(E48=0,"",O48/E48)</x:f>
        <x:v>0.045454545454545456</x:v>
      </x:c>
      <x:c r="AC48" s="19" t="n">
        <x:f>IF(E48=0,"",P48/E48)</x:f>
        <x:v>0.015151515151515152</x:v>
      </x:c>
      <x:c r="AD48" s="20" t="n">
        <x:f>IF(Q48=0,"",100*(R48-S48)/Q48)</x:f>
        <x:v>61.904761904761905</x:v>
      </x:c>
      <x:c r="AE48" s="19" t="n">
        <x:f>IF(F48=0,"",G48/F48)</x:f>
        <x:v>0.026666678798066015</x:v>
      </x:c>
      <x:c r="AF48" s="18" t="n">
        <x:f>ROUND(I48-(F48-G48-H48),2)</x:f>
        <x:v>0</x:v>
      </x:c>
    </x:row>
    <x:row r="49" ht="24" customHeight="1">
      <x:c r="A49" s="14" t="n">
        <x:v>45017</x:v>
      </x:c>
      <x:c r="B49" s="2" t="str">
        <x:v>Lojas</x:v>
      </x:c>
      <x:c r="C49" s="2" t="str">
        <x:v>Centro-Oeste</x:v>
      </x:c>
      <x:c r="D49" s="2" t="str">
        <x:v>M-0044</x:v>
      </x:c>
      <x:c r="E49" s="16" t="n">
        <x:v>47</x:v>
      </x:c>
      <x:c r="F49" s="17" t="n">
        <x:v>54684.65</x:v>
      </x:c>
      <x:c r="G49" s="17" t="n">
        <x:v>1458.26</x:v>
      </x:c>
      <x:c r="H49" s="17" t="n">
        <x:v>628.87</x:v>
      </x:c>
      <x:c r="I49" s="17" t="n">
        <x:v>52597.52</x:v>
      </x:c>
      <x:c r="J49" s="17" t="n">
        <x:v>27915.06</x:v>
      </x:c>
      <x:c r="K49" s="17" t="n">
        <x:v>1157.15</x:v>
      </x:c>
      <x:c r="L49" s="17" t="n">
        <x:v>1262.34</x:v>
      </x:c>
      <x:c r="M49" s="17" t="n">
        <x:v>946.76</x:v>
      </x:c>
      <x:c r="N49" s="16" t="n">
        <x:v>13</x:v>
      </x:c>
      <x:c r="O49" s="16" t="n">
        <x:v>2</x:v>
      </x:c>
      <x:c r="P49" s="16" t="n">
        <x:v>1</x:v>
      </x:c>
      <x:c r="Q49" s="16" t="n">
        <x:v>15</x:v>
      </x:c>
      <x:c r="R49" s="16" t="n">
        <x:v>11</x:v>
      </x:c>
      <x:c r="S49" s="16" t="n">
        <x:v>2</x:v>
      </x:c>
      <x:c r="T49" s="15" t="n">
        <x:f>YEAR(A49)</x:f>
        <x:v>2023</x:v>
      </x:c>
      <x:c r="U49" s="15" t="n">
        <x:f>ROUNDUP(MONTH(A49)/3,0)</x:f>
        <x:v>2</x:v>
      </x:c>
      <x:c r="V49" s="18" t="n">
        <x:f>I49-J49</x:f>
        <x:v>24682.459999999995</x:v>
      </x:c>
      <x:c r="W49" s="19" t="n">
        <x:f>IF(I49=0,"",V49/I49)</x:f>
        <x:v>0.46927041427048266</x:v>
      </x:c>
      <x:c r="X49" s="18" t="n">
        <x:f>I49-J49-K49-L49-M49</x:f>
        <x:v>21316.209999999995</x:v>
      </x:c>
      <x:c r="Y49" s="19" t="n">
        <x:f>IF(I49=0,"",X49/I49)</x:f>
        <x:v>0.40527024848319837</x:v>
      </x:c>
      <x:c r="Z49" s="18" t="n">
        <x:f>IF(E49=0,"",F49/E49)</x:f>
        <x:v>1163.5031914893618</x:v>
      </x:c>
      <x:c r="AA49" s="18" t="n">
        <x:f>IF(N49=0,"",M49/N49)</x:f>
        <x:v>72.8276923076923</x:v>
      </x:c>
      <x:c r="AB49" s="19" t="n">
        <x:f>IF(E49=0,"",O49/E49)</x:f>
        <x:v>0.0425531914893617</x:v>
      </x:c>
      <x:c r="AC49" s="19" t="n">
        <x:f>IF(E49=0,"",P49/E49)</x:f>
        <x:v>0.02127659574468085</x:v>
      </x:c>
      <x:c r="AD49" s="20" t="n">
        <x:f>IF(Q49=0,"",100*(R49-S49)/Q49)</x:f>
        <x:v>60</x:v>
      </x:c>
      <x:c r="AE49" s="19" t="n">
        <x:f>IF(F49=0,"",G49/F49)</x:f>
        <x:v>0.026666715431112754</x:v>
      </x:c>
      <x:c r="AF49" s="18" t="n">
        <x:f>ROUND(I49-(F49-G49-H49),2)</x:f>
        <x:v>0</x:v>
      </x:c>
    </x:row>
    <x:row r="50" ht="24" customHeight="1">
      <x:c r="A50" s="14" t="n">
        <x:v>45017</x:v>
      </x:c>
      <x:c r="B50" s="2" t="str">
        <x:v>B2B</x:v>
      </x:c>
      <x:c r="C50" s="2" t="str">
        <x:v>Sudeste</x:v>
      </x:c>
      <x:c r="D50" s="2" t="str">
        <x:v>M-0045</x:v>
      </x:c>
      <x:c r="E50" s="16" t="n">
        <x:v>82</x:v>
      </x:c>
      <x:c r="F50" s="17" t="n">
        <x:v>95416.31</x:v>
      </x:c>
      <x:c r="G50" s="17" t="n">
        <x:v>2544.43</x:v>
      </x:c>
      <x:c r="H50" s="17" t="n">
        <x:v>1097.29</x:v>
      </x:c>
      <x:c r="I50" s="17" t="n">
        <x:v>91774.59</x:v>
      </x:c>
      <x:c r="J50" s="17" t="n">
        <x:v>49671.88</x:v>
      </x:c>
      <x:c r="K50" s="17" t="n">
        <x:v>2019.04</x:v>
      </x:c>
      <x:c r="L50" s="17" t="n">
        <x:v>2202.59</x:v>
      </x:c>
      <x:c r="M50" s="17" t="n">
        <x:v>1651.94</x:v>
      </x:c>
      <x:c r="N50" s="16" t="n">
        <x:v>23</x:v>
      </x:c>
      <x:c r="O50" s="16" t="n">
        <x:v>4</x:v>
      </x:c>
      <x:c r="P50" s="16" t="n">
        <x:v>2</x:v>
      </x:c>
      <x:c r="Q50" s="16" t="n">
        <x:v>26</x:v>
      </x:c>
      <x:c r="R50" s="16" t="n">
        <x:v>19</x:v>
      </x:c>
      <x:c r="S50" s="16" t="n">
        <x:v>3</x:v>
      </x:c>
      <x:c r="T50" s="15" t="n">
        <x:f>YEAR(A50)</x:f>
        <x:v>2023</x:v>
      </x:c>
      <x:c r="U50" s="15" t="n">
        <x:f>ROUNDUP(MONTH(A50)/3,0)</x:f>
        <x:v>2</x:v>
      </x:c>
      <x:c r="V50" s="18" t="n">
        <x:f>I50-J50</x:f>
        <x:v>42102.71</x:v>
      </x:c>
      <x:c r="W50" s="19" t="n">
        <x:f>IF(I50=0,"",V50/I50)</x:f>
        <x:v>0.45876216935428427</x:v>
      </x:c>
      <x:c r="X50" s="18" t="n">
        <x:f>I50-J50-K50-L50-M50</x:f>
        <x:v>36229.14</x:v>
      </x:c>
      <x:c r="Y50" s="19" t="n">
        <x:f>IF(I50=0,"",X50/I50)</x:f>
        <x:v>0.39476221032423026</x:v>
      </x:c>
      <x:c r="Z50" s="18" t="n">
        <x:f>IF(E50=0,"",F50/E50)</x:f>
        <x:v>1163.6135365853659</x:v>
      </x:c>
      <x:c r="AA50" s="18" t="n">
        <x:f>IF(N50=0,"",M50/N50)</x:f>
        <x:v>71.82347826086956</x:v>
      </x:c>
      <x:c r="AB50" s="19" t="n">
        <x:f>IF(E50=0,"",O50/E50)</x:f>
        <x:v>0.04878048780487805</x:v>
      </x:c>
      <x:c r="AC50" s="19" t="n">
        <x:f>IF(E50=0,"",P50/E50)</x:f>
        <x:v>0.024390243902439025</x:v>
      </x:c>
      <x:c r="AD50" s="20" t="n">
        <x:f>IF(Q50=0,"",100*(R50-S50)/Q50)</x:f>
        <x:v>61.53846153846154</x:v>
      </x:c>
      <x:c r="AE50" s="19" t="n">
        <x:f>IF(F50=0,"",G50/F50)</x:f>
        <x:v>0.02666661496341663</x:v>
      </x:c>
      <x:c r="AF50" s="18" t="n">
        <x:f>ROUND(I50-(F50-G50-H50),2)</x:f>
        <x:v>0</x:v>
      </x:c>
    </x:row>
    <x:row r="51" ht="24" customHeight="1">
      <x:c r="A51" s="14" t="n">
        <x:v>45017</x:v>
      </x:c>
      <x:c r="B51" s="2" t="str">
        <x:v>B2B</x:v>
      </x:c>
      <x:c r="C51" s="2" t="str">
        <x:v>Nordeste</x:v>
      </x:c>
      <x:c r="D51" s="2" t="str">
        <x:v>M-0046</x:v>
      </x:c>
      <x:c r="E51" s="16" t="n">
        <x:v>46</x:v>
      </x:c>
      <x:c r="F51" s="17" t="n">
        <x:v>53319.02</x:v>
      </x:c>
      <x:c r="G51" s="17" t="n">
        <x:v>1421.84</x:v>
      </x:c>
      <x:c r="H51" s="17" t="n">
        <x:v>613.17</x:v>
      </x:c>
      <x:c r="I51" s="17" t="n">
        <x:v>51284.01</x:v>
      </x:c>
      <x:c r="J51" s="17" t="n">
        <x:v>27679.47</x:v>
      </x:c>
      <x:c r="K51" s="17" t="n">
        <x:v>1128.25</x:v>
      </x:c>
      <x:c r="L51" s="17" t="n">
        <x:v>1230.82</x:v>
      </x:c>
      <x:c r="M51" s="17" t="n">
        <x:v>923.11</x:v>
      </x:c>
      <x:c r="N51" s="16" t="n">
        <x:v>13</x:v>
      </x:c>
      <x:c r="O51" s="16" t="n">
        <x:v>2</x:v>
      </x:c>
      <x:c r="P51" s="16" t="n">
        <x:v>1</x:v>
      </x:c>
      <x:c r="Q51" s="16" t="n">
        <x:v>15</x:v>
      </x:c>
      <x:c r="R51" s="16" t="n">
        <x:v>11</x:v>
      </x:c>
      <x:c r="S51" s="16" t="n">
        <x:v>2</x:v>
      </x:c>
      <x:c r="T51" s="15" t="n">
        <x:f>YEAR(A51)</x:f>
        <x:v>2023</x:v>
      </x:c>
      <x:c r="U51" s="15" t="n">
        <x:f>ROUNDUP(MONTH(A51)/3,0)</x:f>
        <x:v>2</x:v>
      </x:c>
      <x:c r="V51" s="18" t="n">
        <x:f>I51-J51</x:f>
        <x:v>23604.54</x:v>
      </x:c>
      <x:c r="W51" s="19" t="n">
        <x:f>IF(I51=0,"",V51/I51)</x:f>
        <x:v>0.4602709499510666</x:v>
      </x:c>
      <x:c r="X51" s="18" t="n">
        <x:f>I51-J51-K51-L51-M51</x:f>
        <x:v>20322.36</x:v>
      </x:c>
      <x:c r="Y51" s="19" t="n">
        <x:f>IF(I51=0,"",X51/I51)</x:f>
        <x:v>0.39627088443356906</x:v>
      </x:c>
      <x:c r="Z51" s="18" t="n">
        <x:f>IF(E51=0,"",F51/E51)</x:f>
        <x:v>1159.1091304347826</x:v>
      </x:c>
      <x:c r="AA51" s="18" t="n">
        <x:f>IF(N51=0,"",M51/N51)</x:f>
        <x:v>71.00846153846155</x:v>
      </x:c>
      <x:c r="AB51" s="19" t="n">
        <x:f>IF(E51=0,"",O51/E51)</x:f>
        <x:v>0.043478260869565216</x:v>
      </x:c>
      <x:c r="AC51" s="19" t="n">
        <x:f>IF(E51=0,"",P51/E51)</x:f>
        <x:v>0.021739130434782608</x:v>
      </x:c>
      <x:c r="AD51" s="20" t="n">
        <x:f>IF(Q51=0,"",100*(R51-S51)/Q51)</x:f>
        <x:v>60</x:v>
      </x:c>
      <x:c r="AE51" s="19" t="n">
        <x:f>IF(F51=0,"",G51/F51)</x:f>
        <x:v>0.026666656663982196</x:v>
      </x:c>
      <x:c r="AF51" s="18" t="n">
        <x:f>ROUND(I51-(F51-G51-H51),2)</x:f>
        <x:v>0</x:v>
      </x:c>
    </x:row>
    <x:row r="52" ht="24" customHeight="1">
      <x:c r="A52" s="14" t="n">
        <x:v>45017</x:v>
      </x:c>
      <x:c r="B52" s="2" t="str">
        <x:v>B2B</x:v>
      </x:c>
      <x:c r="C52" s="2" t="str">
        <x:v>Sul</x:v>
      </x:c>
      <x:c r="D52" s="2" t="str">
        <x:v>M-0047</x:v>
      </x:c>
      <x:c r="E52" s="16" t="n">
        <x:v>38</x:v>
      </x:c>
      <x:c r="F52" s="17" t="n">
        <x:v>43633.46</x:v>
      </x:c>
      <x:c r="G52" s="17" t="n">
        <x:v>1163.56</x:v>
      </x:c>
      <x:c r="H52" s="17" t="n">
        <x:v>501.78</x:v>
      </x:c>
      <x:c r="I52" s="17" t="n">
        <x:v>41968.12</x:v>
      </x:c>
      <x:c r="J52" s="17" t="n">
        <x:v>21502.86</x:v>
      </x:c>
      <x:c r="K52" s="17" t="n">
        <x:v>923.3</x:v>
      </x:c>
      <x:c r="L52" s="17" t="n">
        <x:v>1007.23</x:v>
      </x:c>
      <x:c r="M52" s="17" t="n">
        <x:v>755.43</x:v>
      </x:c>
      <x:c r="N52" s="16" t="n">
        <x:v>11</x:v>
      </x:c>
      <x:c r="O52" s="16" t="n">
        <x:v>2</x:v>
      </x:c>
      <x:c r="P52" s="16" t="n">
        <x:v>1</x:v>
      </x:c>
      <x:c r="Q52" s="16" t="n">
        <x:v>12</x:v>
      </x:c>
      <x:c r="R52" s="16" t="n">
        <x:v>9</x:v>
      </x:c>
      <x:c r="S52" s="16" t="n">
        <x:v>1</x:v>
      </x:c>
      <x:c r="T52" s="15" t="n">
        <x:f>YEAR(A52)</x:f>
        <x:v>2023</x:v>
      </x:c>
      <x:c r="U52" s="15" t="n">
        <x:f>ROUNDUP(MONTH(A52)/3,0)</x:f>
        <x:v>2</x:v>
      </x:c>
      <x:c r="V52" s="18" t="n">
        <x:f>I52-J52</x:f>
        <x:v>20465.260000000002</x:v>
      </x:c>
      <x:c r="W52" s="19" t="n">
        <x:f>IF(I52=0,"",V52/I52)</x:f>
        <x:v>0.48763823587999655</x:v>
      </x:c>
      <x:c r="X52" s="18" t="n">
        <x:f>I52-J52-K52-L52-M52</x:f>
        <x:v>17779.300000000003</x:v>
      </x:c>
      <x:c r="Y52" s="19" t="n">
        <x:f>IF(I52=0,"",X52/I52)</x:f>
        <x:v>0.42363822825516134</x:v>
      </x:c>
      <x:c r="Z52" s="18" t="n">
        <x:f>IF(E52=0,"",F52/E52)</x:f>
        <x:v>1148.248947368421</x:v>
      </x:c>
      <x:c r="AA52" s="18" t="n">
        <x:f>IF(N52=0,"",M52/N52)</x:f>
        <x:v>68.67545454545454</x:v>
      </x:c>
      <x:c r="AB52" s="19" t="n">
        <x:f>IF(E52=0,"",O52/E52)</x:f>
        <x:v>0.05263157894736842</x:v>
      </x:c>
      <x:c r="AC52" s="19" t="n">
        <x:f>IF(E52=0,"",P52/E52)</x:f>
        <x:v>0.02631578947368421</x:v>
      </x:c>
      <x:c r="AD52" s="20" t="n">
        <x:f>IF(Q52=0,"",100*(R52-S52)/Q52)</x:f>
        <x:v>66.66666666666667</x:v>
      </x:c>
      <x:c r="AE52" s="19" t="n">
        <x:f>IF(F52=0,"",G52/F52)</x:f>
        <x:v>0.026666691112737794</x:v>
      </x:c>
      <x:c r="AF52" s="18" t="n">
        <x:f>ROUND(I52-(F52-G52-H52),2)</x:f>
        <x:v>0</x:v>
      </x:c>
    </x:row>
    <x:row r="53" ht="24" customHeight="1">
      <x:c r="A53" s="14" t="n">
        <x:v>45017</x:v>
      </x:c>
      <x:c r="B53" s="2" t="str">
        <x:v>B2B</x:v>
      </x:c>
      <x:c r="C53" s="2" t="str">
        <x:v>Centro-Oeste</x:v>
      </x:c>
      <x:c r="D53" s="2" t="str">
        <x:v>M-0048</x:v>
      </x:c>
      <x:c r="E53" s="16" t="n">
        <x:v>32</x:v>
      </x:c>
      <x:c r="F53" s="17" t="n">
        <x:v>36832.66</x:v>
      </x:c>
      <x:c r="G53" s="17" t="n">
        <x:v>982.2</x:v>
      </x:c>
      <x:c r="H53" s="17" t="n">
        <x:v>423.58</x:v>
      </x:c>
      <x:c r="I53" s="17" t="n">
        <x:v>35426.88</x:v>
      </x:c>
      <x:c r="J53" s="17" t="n">
        <x:v>19027.7</x:v>
      </x:c>
      <x:c r="K53" s="17" t="n">
        <x:v>779.39</x:v>
      </x:c>
      <x:c r="L53" s="17" t="n">
        <x:v>850.25</x:v>
      </x:c>
      <x:c r="M53" s="17" t="n">
        <x:v>637.68</x:v>
      </x:c>
      <x:c r="N53" s="16" t="n">
        <x:v>9</x:v>
      </x:c>
      <x:c r="O53" s="16" t="n">
        <x:v>2</x:v>
      </x:c>
      <x:c r="P53" s="16" t="n">
        <x:v>1</x:v>
      </x:c>
      <x:c r="Q53" s="16" t="n">
        <x:v>10</x:v>
      </x:c>
      <x:c r="R53" s="16" t="n">
        <x:v>7</x:v>
      </x:c>
      <x:c r="S53" s="16" t="n">
        <x:v>1</x:v>
      </x:c>
      <x:c r="T53" s="15" t="n">
        <x:f>YEAR(A53)</x:f>
        <x:v>2023</x:v>
      </x:c>
      <x:c r="U53" s="15" t="n">
        <x:f>ROUNDUP(MONTH(A53)/3,0)</x:f>
        <x:v>2</x:v>
      </x:c>
      <x:c r="V53" s="18" t="n">
        <x:f>I53-J53</x:f>
        <x:v>16399.179999999997</x:v>
      </x:c>
      <x:c r="W53" s="19" t="n">
        <x:f>IF(I53=0,"",V53/I53)</x:f>
        <x:v>0.4629021804911976</x:v>
      </x:c>
      <x:c r="X53" s="18" t="n">
        <x:f>I53-J53-K53-L53-M53</x:f>
        <x:v>14131.859999999997</x:v>
      </x:c>
      <x:c r="Y53" s="19" t="n">
        <x:f>IF(I53=0,"",X53/I53)</x:f>
        <x:v>0.3989021895238869</x:v>
      </x:c>
      <x:c r="Z53" s="18" t="n">
        <x:f>IF(E53=0,"",F53/E53)</x:f>
        <x:v>1151.020625</x:v>
      </x:c>
      <x:c r="AA53" s="18" t="n">
        <x:f>IF(N53=0,"",M53/N53)</x:f>
        <x:v>70.85333333333332</x:v>
      </x:c>
      <x:c r="AB53" s="19" t="n">
        <x:f>IF(E53=0,"",O53/E53)</x:f>
        <x:v>0.0625</x:v>
      </x:c>
      <x:c r="AC53" s="19" t="n">
        <x:f>IF(E53=0,"",P53/E53)</x:f>
        <x:v>0.03125</x:v>
      </x:c>
      <x:c r="AD53" s="20" t="n">
        <x:f>IF(Q53=0,"",100*(R53-S53)/Q53)</x:f>
        <x:v>60</x:v>
      </x:c>
      <x:c r="AE53" s="19" t="n">
        <x:f>IF(F53=0,"",G53/F53)</x:f>
        <x:v>0.026666550827444988</x:v>
      </x:c>
      <x:c r="AF53" s="18" t="n">
        <x:f>ROUND(I53-(F53-G53-H53),2)</x:f>
        <x:v>0</x:v>
      </x:c>
    </x:row>
    <x:row r="54" ht="24" customHeight="1">
      <x:c r="A54" s="14" t="n">
        <x:v>45047</x:v>
      </x:c>
      <x:c r="B54" s="2" t="str">
        <x:v>E-commerce</x:v>
      </x:c>
      <x:c r="C54" s="2" t="str">
        <x:v>Sudeste</x:v>
      </x:c>
      <x:c r="D54" s="2" t="str">
        <x:v>M-0049</x:v>
      </x:c>
      <x:c r="E54" s="16" t="n">
        <x:v>130</x:v>
      </x:c>
      <x:c r="F54" s="17" t="n">
        <x:v>150670.24</x:v>
      </x:c>
      <x:c r="G54" s="17" t="n">
        <x:v>4101.58</x:v>
      </x:c>
      <x:c r="H54" s="17" t="n">
        <x:v>1808.04</x:v>
      </x:c>
      <x:c r="I54" s="17" t="n">
        <x:v>144760.62</x:v>
      </x:c>
      <x:c r="J54" s="17" t="n">
        <x:v>76900.18</x:v>
      </x:c>
      <x:c r="K54" s="17" t="n">
        <x:v>6369.47</x:v>
      </x:c>
      <x:c r="L54" s="17" t="n">
        <x:v>3474.25</x:v>
      </x:c>
      <x:c r="M54" s="17" t="n">
        <x:v>10857.05</x:v>
      </x:c>
      <x:c r="N54" s="16" t="n">
        <x:v>68</x:v>
      </x:c>
      <x:c r="O54" s="16" t="n">
        <x:v>7</x:v>
      </x:c>
      <x:c r="P54" s="16" t="n">
        <x:v>3</x:v>
      </x:c>
      <x:c r="Q54" s="16" t="n">
        <x:v>42</x:v>
      </x:c>
      <x:c r="R54" s="16" t="n">
        <x:v>30</x:v>
      </x:c>
      <x:c r="S54" s="16" t="n">
        <x:v>5</x:v>
      </x:c>
      <x:c r="T54" s="15" t="n">
        <x:f>YEAR(A54)</x:f>
        <x:v>2023</x:v>
      </x:c>
      <x:c r="U54" s="15" t="n">
        <x:f>ROUNDUP(MONTH(A54)/3,0)</x:f>
        <x:v>2</x:v>
      </x:c>
      <x:c r="V54" s="18" t="n">
        <x:f>I54-J54</x:f>
        <x:v>67860.44</x:v>
      </x:c>
      <x:c r="W54" s="19" t="n">
        <x:f>IF(I54=0,"",V54/I54)</x:f>
        <x:v>0.4687769367111028</x:v>
      </x:c>
      <x:c r="X54" s="18" t="n">
        <x:f>I54-J54-K54-L54-M54</x:f>
        <x:v>47159.67</x:v>
      </x:c>
      <x:c r="Y54" s="19" t="n">
        <x:f>IF(I54=0,"",X54/I54)</x:f>
        <x:v>0.3257769274544417</x:v>
      </x:c>
      <x:c r="Z54" s="18" t="n">
        <x:f>IF(E54=0,"",F54/E54)</x:f>
        <x:v>1159.0018461538461</x:v>
      </x:c>
      <x:c r="AA54" s="18" t="n">
        <x:f>IF(N54=0,"",M54/N54)</x:f>
        <x:v>159.6625</x:v>
      </x:c>
      <x:c r="AB54" s="19" t="n">
        <x:f>IF(E54=0,"",O54/E54)</x:f>
        <x:v>0.05384615384615385</x:v>
      </x:c>
      <x:c r="AC54" s="19" t="n">
        <x:f>IF(E54=0,"",P54/E54)</x:f>
        <x:v>0.023076923076923078</x:v>
      </x:c>
      <x:c r="AD54" s="20" t="n">
        <x:f>IF(Q54=0,"",100*(R54-S54)/Q54)</x:f>
        <x:v>59.523809523809526</x:v>
      </x:c>
      <x:c r="AE54" s="19" t="n">
        <x:f>IF(F54=0,"",G54/F54)</x:f>
        <x:v>0.027222230481613357</x:v>
      </x:c>
      <x:c r="AF54" s="18" t="n">
        <x:f>ROUND(I54-(F54-G54-H54),2)</x:f>
        <x:v>0</x:v>
      </x:c>
    </x:row>
    <x:row r="55" ht="24" customHeight="1">
      <x:c r="A55" s="14" t="n">
        <x:v>45047</x:v>
      </x:c>
      <x:c r="B55" s="2" t="str">
        <x:v>E-commerce</x:v>
      </x:c>
      <x:c r="C55" s="2" t="str">
        <x:v>Nordeste</x:v>
      </x:c>
      <x:c r="D55" s="2" t="str">
        <x:v>M-0050</x:v>
      </x:c>
      <x:c r="E55" s="16" t="n">
        <x:v>92</x:v>
      </x:c>
      <x:c r="F55" s="17" t="n">
        <x:v>106415.16</x:v>
      </x:c>
      <x:c r="G55" s="17" t="n">
        <x:v>2896.86</x:v>
      </x:c>
      <x:c r="H55" s="17" t="n">
        <x:v>1276.98</x:v>
      </x:c>
      <x:c r="I55" s="17" t="n">
        <x:v>102241.32</x:v>
      </x:c>
      <x:c r="J55" s="17" t="n">
        <x:v>56130.22</x:v>
      </x:c>
      <x:c r="K55" s="17" t="n">
        <x:v>4498.62</x:v>
      </x:c>
      <x:c r="L55" s="17" t="n">
        <x:v>2453.79</x:v>
      </x:c>
      <x:c r="M55" s="17" t="n">
        <x:v>7668.1</x:v>
      </x:c>
      <x:c r="N55" s="16" t="n">
        <x:v>48</x:v>
      </x:c>
      <x:c r="O55" s="16" t="n">
        <x:v>5</x:v>
      </x:c>
      <x:c r="P55" s="16" t="n">
        <x:v>2</x:v>
      </x:c>
      <x:c r="Q55" s="16" t="n">
        <x:v>29</x:v>
      </x:c>
      <x:c r="R55" s="16" t="n">
        <x:v>21</x:v>
      </x:c>
      <x:c r="S55" s="16" t="n">
        <x:v>3</x:v>
      </x:c>
      <x:c r="T55" s="15" t="n">
        <x:f>YEAR(A55)</x:f>
        <x:v>2023</x:v>
      </x:c>
      <x:c r="U55" s="15" t="n">
        <x:f>ROUNDUP(MONTH(A55)/3,0)</x:f>
        <x:v>2</x:v>
      </x:c>
      <x:c r="V55" s="18" t="n">
        <x:f>I55-J55</x:f>
        <x:v>46111.100000000006</x:v>
      </x:c>
      <x:c r="W55" s="19" t="n">
        <x:f>IF(I55=0,"",V55/I55)</x:f>
        <x:v>0.4510025887772185</x:v>
      </x:c>
      <x:c r="X55" s="18" t="n">
        <x:f>I55-J55-K55-L55-M55</x:f>
        <x:v>31490.590000000004</x:v>
      </x:c>
      <x:c r="Y55" s="19" t="n">
        <x:f>IF(I55=0,"",X55/I55)</x:f>
        <x:v>0.30800257664904956</x:v>
      </x:c>
      <x:c r="Z55" s="18" t="n">
        <x:f>IF(E55=0,"",F55/E55)</x:f>
        <x:v>1156.6865217391305</x:v>
      </x:c>
      <x:c r="AA55" s="18" t="n">
        <x:f>IF(N55=0,"",M55/N55)</x:f>
        <x:v>159.75208333333333</x:v>
      </x:c>
      <x:c r="AB55" s="19" t="n">
        <x:f>IF(E55=0,"",O55/E55)</x:f>
        <x:v>0.05434782608695652</x:v>
      </x:c>
      <x:c r="AC55" s="19" t="n">
        <x:f>IF(E55=0,"",P55/E55)</x:f>
        <x:v>0.021739130434782608</x:v>
      </x:c>
      <x:c r="AD55" s="20" t="n">
        <x:f>IF(Q55=0,"",100*(R55-S55)/Q55)</x:f>
        <x:v>62.06896551724138</x:v>
      </x:c>
      <x:c r="AE55" s="19" t="n">
        <x:f>IF(F55=0,"",G55/F55)</x:f>
        <x:v>0.02722224916073988</x:v>
      </x:c>
      <x:c r="AF55" s="18" t="n">
        <x:f>ROUND(I55-(F55-G55-H55),2)</x:f>
        <x:v>0</x:v>
      </x:c>
    </x:row>
    <x:row r="56" ht="24" customHeight="1">
      <x:c r="A56" s="14" t="n">
        <x:v>45047</x:v>
      </x:c>
      <x:c r="B56" s="2" t="str">
        <x:v>E-commerce</x:v>
      </x:c>
      <x:c r="C56" s="2" t="str">
        <x:v>Sul</x:v>
      </x:c>
      <x:c r="D56" s="2" t="str">
        <x:v>M-0051</x:v>
      </x:c>
      <x:c r="E56" s="16" t="n">
        <x:v>68</x:v>
      </x:c>
      <x:c r="F56" s="17" t="n">
        <x:v>79212.72</x:v>
      </x:c>
      <x:c r="G56" s="17" t="n">
        <x:v>2156.35</x:v>
      </x:c>
      <x:c r="H56" s="17" t="n">
        <x:v>950.55</x:v>
      </x:c>
      <x:c r="I56" s="17" t="n">
        <x:v>76105.82</x:v>
      </x:c>
      <x:c r="J56" s="17" t="n">
        <x:v>39490.69</x:v>
      </x:c>
      <x:c r="K56" s="17" t="n">
        <x:v>3348.66</x:v>
      </x:c>
      <x:c r="L56" s="17" t="n">
        <x:v>1826.54</x:v>
      </x:c>
      <x:c r="M56" s="17" t="n">
        <x:v>5707.94</x:v>
      </x:c>
      <x:c r="N56" s="16" t="n">
        <x:v>35</x:v>
      </x:c>
      <x:c r="O56" s="16" t="n">
        <x:v>4</x:v>
      </x:c>
      <x:c r="P56" s="16" t="n">
        <x:v>1</x:v>
      </x:c>
      <x:c r="Q56" s="16" t="n">
        <x:v>22</x:v>
      </x:c>
      <x:c r="R56" s="16" t="n">
        <x:v>16</x:v>
      </x:c>
      <x:c r="S56" s="16" t="n">
        <x:v>3</x:v>
      </x:c>
      <x:c r="T56" s="15" t="n">
        <x:f>YEAR(A56)</x:f>
        <x:v>2023</x:v>
      </x:c>
      <x:c r="U56" s="15" t="n">
        <x:f>ROUNDUP(MONTH(A56)/3,0)</x:f>
        <x:v>2</x:v>
      </x:c>
      <x:c r="V56" s="18" t="n">
        <x:f>I56-J56</x:f>
        <x:v>36615.130000000005</x:v>
      </x:c>
      <x:c r="W56" s="19" t="n">
        <x:f>IF(I56=0,"",V56/I56)</x:f>
        <x:v>0.4811081465254563</x:v>
      </x:c>
      <x:c r="X56" s="18" t="n">
        <x:f>I56-J56-K56-L56-M56</x:f>
        <x:v>25731.99</x:v>
      </x:c>
      <x:c r="Y56" s="19" t="n">
        <x:f>IF(I56=0,"",X56/I56)</x:f>
        <x:v>0.33810804482495554</x:v>
      </x:c>
      <x:c r="Z56" s="18" t="n">
        <x:f>IF(E56=0,"",F56/E56)</x:f>
        <x:v>1164.8929411764707</x:v>
      </x:c>
      <x:c r="AA56" s="18" t="n">
        <x:f>IF(N56=0,"",M56/N56)</x:f>
        <x:v>163.08399999999997</x:v>
      </x:c>
      <x:c r="AB56" s="19" t="n">
        <x:f>IF(E56=0,"",O56/E56)</x:f>
        <x:v>0.058823529411764705</x:v>
      </x:c>
      <x:c r="AC56" s="19" t="n">
        <x:f>IF(E56=0,"",P56/E56)</x:f>
        <x:v>0.014705882352941176</x:v>
      </x:c>
      <x:c r="AD56" s="20" t="n">
        <x:f>IF(Q56=0,"",100*(R56-S56)/Q56)</x:f>
        <x:v>59.09090909090909</x:v>
      </x:c>
      <x:c r="AE56" s="19" t="n">
        <x:f>IF(F56=0,"",G56/F56)</x:f>
        <x:v>0.027222269352699918</x:v>
      </x:c>
      <x:c r="AF56" s="18" t="n">
        <x:f>ROUND(I56-(F56-G56-H56),2)</x:f>
        <x:v>0</x:v>
      </x:c>
    </x:row>
    <x:row r="57" ht="24" customHeight="1">
      <x:c r="A57" s="14" t="n">
        <x:v>45047</x:v>
      </x:c>
      <x:c r="B57" s="2" t="str">
        <x:v>E-commerce</x:v>
      </x:c>
      <x:c r="C57" s="2" t="str">
        <x:v>Centro-Oeste</x:v>
      </x:c>
      <x:c r="D57" s="2" t="str">
        <x:v>M-0052</x:v>
      </x:c>
      <x:c r="E57" s="16" t="n">
        <x:v>61</x:v>
      </x:c>
      <x:c r="F57" s="17" t="n">
        <x:v>70357.03</x:v>
      </x:c>
      <x:c r="G57" s="17" t="n">
        <x:v>1915.27</x:v>
      </x:c>
      <x:c r="H57" s="17" t="n">
        <x:v>844.28</x:v>
      </x:c>
      <x:c r="I57" s="17" t="n">
        <x:v>67597.48</x:v>
      </x:c>
      <x:c r="J57" s="17" t="n">
        <x:v>35421.47</x:v>
      </x:c>
      <x:c r="K57" s="17" t="n">
        <x:v>2974.29</x:v>
      </x:c>
      <x:c r="L57" s="17" t="n">
        <x:v>1622.34</x:v>
      </x:c>
      <x:c r="M57" s="17" t="n">
        <x:v>5069.81</x:v>
      </x:c>
      <x:c r="N57" s="16" t="n">
        <x:v>32</x:v>
      </x:c>
      <x:c r="O57" s="16" t="n">
        <x:v>3</x:v>
      </x:c>
      <x:c r="P57" s="16" t="n">
        <x:v>1</x:v>
      </x:c>
      <x:c r="Q57" s="16" t="n">
        <x:v>20</x:v>
      </x:c>
      <x:c r="R57" s="16" t="n">
        <x:v>14</x:v>
      </x:c>
      <x:c r="S57" s="16" t="n">
        <x:v>2</x:v>
      </x:c>
      <x:c r="T57" s="15" t="n">
        <x:f>YEAR(A57)</x:f>
        <x:v>2023</x:v>
      </x:c>
      <x:c r="U57" s="15" t="n">
        <x:f>ROUNDUP(MONTH(A57)/3,0)</x:f>
        <x:v>2</x:v>
      </x:c>
      <x:c r="V57" s="18" t="n">
        <x:f>I57-J57</x:f>
        <x:v>32176.009999999995</x:v>
      </x:c>
      <x:c r="W57" s="19" t="n">
        <x:f>IF(I57=0,"",V57/I57)</x:f>
        <x:v>0.4759942234533003</x:v>
      </x:c>
      <x:c r="X57" s="18" t="n">
        <x:f>I57-J57-K57-L57-M57</x:f>
        <x:v>22509.569999999992</x:v>
      </x:c>
      <x:c r="Y57" s="19" t="n">
        <x:f>IF(I57=0,"",X57/I57)</x:f>
        <x:v>0.33299421812765795</x:v>
      </x:c>
      <x:c r="Z57" s="18" t="n">
        <x:f>IF(E57=0,"",F57/E57)</x:f>
        <x:v>1153.3939344262294</x:v>
      </x:c>
      <x:c r="AA57" s="18" t="n">
        <x:f>IF(N57=0,"",M57/N57)</x:f>
        <x:v>158.4315625</x:v>
      </x:c>
      <x:c r="AB57" s="19" t="n">
        <x:f>IF(E57=0,"",O57/E57)</x:f>
        <x:v>0.04918032786885246</x:v>
      </x:c>
      <x:c r="AC57" s="19" t="n">
        <x:f>IF(E57=0,"",P57/E57)</x:f>
        <x:v>0.01639344262295082</x:v>
      </x:c>
      <x:c r="AD57" s="20" t="n">
        <x:f>IF(Q57=0,"",100*(R57-S57)/Q57)</x:f>
        <x:v>60</x:v>
      </x:c>
      <x:c r="AE57" s="19" t="n">
        <x:f>IF(F57=0,"",G57/F57)</x:f>
        <x:v>0.027222155341122274</x:v>
      </x:c>
      <x:c r="AF57" s="18" t="n">
        <x:f>ROUND(I57-(F57-G57-H57),2)</x:f>
        <x:v>0</x:v>
      </x:c>
    </x:row>
    <x:row r="58" ht="24" customHeight="1">
      <x:c r="A58" s="14" t="n">
        <x:v>45047</x:v>
      </x:c>
      <x:c r="B58" s="2" t="str">
        <x:v>Lojas</x:v>
      </x:c>
      <x:c r="C58" s="2" t="str">
        <x:v>Sudeste</x:v>
      </x:c>
      <x:c r="D58" s="2" t="str">
        <x:v>M-0053</x:v>
      </x:c>
      <x:c r="E58" s="16" t="n">
        <x:v>134</x:v>
      </x:c>
      <x:c r="F58" s="17" t="n">
        <x:v>155316.17</x:v>
      </x:c>
      <x:c r="G58" s="17" t="n">
        <x:v>4228.05</x:v>
      </x:c>
      <x:c r="H58" s="17" t="n">
        <x:v>1863.79</x:v>
      </x:c>
      <x:c r="I58" s="17" t="n">
        <x:v>149224.33</x:v>
      </x:c>
      <x:c r="J58" s="17" t="n">
        <x:v>80549.22</x:v>
      </x:c>
      <x:c r="K58" s="17" t="n">
        <x:v>3432.16</x:v>
      </x:c>
      <x:c r="L58" s="17" t="n">
        <x:v>3581.38</x:v>
      </x:c>
      <x:c r="M58" s="17" t="n">
        <x:v>2686.04</x:v>
      </x:c>
      <x:c r="N58" s="16" t="n">
        <x:v>38</x:v>
      </x:c>
      <x:c r="O58" s="16" t="n">
        <x:v>8</x:v>
      </x:c>
      <x:c r="P58" s="16" t="n">
        <x:v>3</x:v>
      </x:c>
      <x:c r="Q58" s="16" t="n">
        <x:v>43</x:v>
      </x:c>
      <x:c r="R58" s="16" t="n">
        <x:v>31</x:v>
      </x:c>
      <x:c r="S58" s="16" t="n">
        <x:v>5</x:v>
      </x:c>
      <x:c r="T58" s="15" t="n">
        <x:f>YEAR(A58)</x:f>
        <x:v>2023</x:v>
      </x:c>
      <x:c r="U58" s="15" t="n">
        <x:f>ROUNDUP(MONTH(A58)/3,0)</x:f>
        <x:v>2</x:v>
      </x:c>
      <x:c r="V58" s="18" t="n">
        <x:f>I58-J58</x:f>
        <x:v>68675.10999999999</x:v>
      </x:c>
      <x:c r="W58" s="19" t="n">
        <x:f>IF(I58=0,"",V58/I58)</x:f>
        <x:v>0.46021389407477986</x:v>
      </x:c>
      <x:c r="X58" s="18" t="n">
        <x:f>I58-J58-K58-L58-M58</x:f>
        <x:v>58975.529999999984</x:v>
      </x:c>
      <x:c r="Y58" s="19" t="n">
        <x:f>IF(I58=0,"",X58/I58)</x:f>
        <x:v>0.39521390379169397</x:v>
      </x:c>
      <x:c r="Z58" s="18" t="n">
        <x:f>IF(E58=0,"",F58/E58)</x:f>
        <x:v>1159.0758955223882</x:v>
      </x:c>
      <x:c r="AA58" s="18" t="n">
        <x:f>IF(N58=0,"",M58/N58)</x:f>
        <x:v>70.68526315789474</x:v>
      </x:c>
      <x:c r="AB58" s="19" t="n">
        <x:f>IF(E58=0,"",O58/E58)</x:f>
        <x:v>0.05970149253731343</x:v>
      </x:c>
      <x:c r="AC58" s="19" t="n">
        <x:f>IF(E58=0,"",P58/E58)</x:f>
        <x:v>0.022388059701492536</x:v>
      </x:c>
      <x:c r="AD58" s="20" t="n">
        <x:f>IF(Q58=0,"",100*(R58-S58)/Q58)</x:f>
        <x:v>60.46511627906977</x:v>
      </x:c>
      <x:c r="AE58" s="19" t="n">
        <x:f>IF(F58=0,"",G58/F58)</x:f>
        <x:v>0.027222213887968007</x:v>
      </x:c>
      <x:c r="AF58" s="18" t="n">
        <x:f>ROUND(I58-(F58-G58-H58),2)</x:f>
        <x:v>0</x:v>
      </x:c>
    </x:row>
    <x:row r="59" ht="24" customHeight="1">
      <x:c r="A59" s="14" t="n">
        <x:v>45047</x:v>
      </x:c>
      <x:c r="B59" s="2" t="str">
        <x:v>Lojas</x:v>
      </x:c>
      <x:c r="C59" s="2" t="str">
        <x:v>Nordeste</x:v>
      </x:c>
      <x:c r="D59" s="2" t="str">
        <x:v>M-0054</x:v>
      </x:c>
      <x:c r="E59" s="16" t="n">
        <x:v>80</x:v>
      </x:c>
      <x:c r="F59" s="17" t="n">
        <x:v>93288.33</x:v>
      </x:c>
      <x:c r="G59" s="17" t="n">
        <x:v>2539.52</x:v>
      </x:c>
      <x:c r="H59" s="17" t="n">
        <x:v>1119.46</x:v>
      </x:c>
      <x:c r="I59" s="17" t="n">
        <x:v>89629.35</x:v>
      </x:c>
      <x:c r="J59" s="17" t="n">
        <x:v>44826.84</x:v>
      </x:c>
      <x:c r="K59" s="17" t="n">
        <x:v>2061.48</x:v>
      </x:c>
      <x:c r="L59" s="17" t="n">
        <x:v>2151.1</x:v>
      </x:c>
      <x:c r="M59" s="17" t="n">
        <x:v>1613.33</x:v>
      </x:c>
      <x:c r="N59" s="16" t="n">
        <x:v>22</x:v>
      </x:c>
      <x:c r="O59" s="16" t="n">
        <x:v>4</x:v>
      </x:c>
      <x:c r="P59" s="16" t="n">
        <x:v>2</x:v>
      </x:c>
      <x:c r="Q59" s="16" t="n">
        <x:v>26</x:v>
      </x:c>
      <x:c r="R59" s="16" t="n">
        <x:v>19</x:v>
      </x:c>
      <x:c r="S59" s="16" t="n">
        <x:v>3</x:v>
      </x:c>
      <x:c r="T59" s="15" t="n">
        <x:f>YEAR(A59)</x:f>
        <x:v>2023</x:v>
      </x:c>
      <x:c r="U59" s="15" t="n">
        <x:f>ROUNDUP(MONTH(A59)/3,0)</x:f>
        <x:v>2</x:v>
      </x:c>
      <x:c r="V59" s="18" t="n">
        <x:f>I59-J59</x:f>
        <x:v>44802.51000000001</x:v>
      </x:c>
      <x:c r="W59" s="19" t="n">
        <x:f>IF(I59=0,"",V59/I59)</x:f>
        <x:v>0.49986427436994696</x:v>
      </x:c>
      <x:c r="X59" s="18" t="n">
        <x:f>I59-J59-K59-L59-M59</x:f>
        <x:v>38976.600000000006</x:v>
      </x:c>
      <x:c r="Y59" s="19" t="n">
        <x:f>IF(I59=0,"",X59/I59)</x:f>
        <x:v>0.4348642492665628</x:v>
      </x:c>
      <x:c r="Z59" s="18" t="n">
        <x:f>IF(E59=0,"",F59/E59)</x:f>
        <x:v>1166.104125</x:v>
      </x:c>
      <x:c r="AA59" s="18" t="n">
        <x:f>IF(N59=0,"",M59/N59)</x:f>
        <x:v>73.33318181818181</x:v>
      </x:c>
      <x:c r="AB59" s="19" t="n">
        <x:f>IF(E59=0,"",O59/E59)</x:f>
        <x:v>0.05</x:v>
      </x:c>
      <x:c r="AC59" s="19" t="n">
        <x:f>IF(E59=0,"",P59/E59)</x:f>
        <x:v>0.025</x:v>
      </x:c>
      <x:c r="AD59" s="20" t="n">
        <x:f>IF(Q59=0,"",100*(R59-S59)/Q59)</x:f>
        <x:v>61.53846153846154</x:v>
      </x:c>
      <x:c r="AE59" s="19" t="n">
        <x:f>IF(F59=0,"",G59/F59)</x:f>
        <x:v>0.027222268851848884</x:v>
      </x:c>
      <x:c r="AF59" s="18" t="n">
        <x:f>ROUND(I59-(F59-G59-H59),2)</x:f>
        <x:v>0</x:v>
      </x:c>
    </x:row>
    <x:row r="60" ht="24" customHeight="1">
      <x:c r="A60" s="14" t="n">
        <x:v>45047</x:v>
      </x:c>
      <x:c r="B60" s="2" t="str">
        <x:v>Lojas</x:v>
      </x:c>
      <x:c r="C60" s="2" t="str">
        <x:v>Sul</x:v>
      </x:c>
      <x:c r="D60" s="2" t="str">
        <x:v>M-0055</x:v>
      </x:c>
      <x:c r="E60" s="16" t="n">
        <x:v>62</x:v>
      </x:c>
      <x:c r="F60" s="17" t="n">
        <x:v>71789.95</x:v>
      </x:c>
      <x:c r="G60" s="17" t="n">
        <x:v>1954.28</x:v>
      </x:c>
      <x:c r="H60" s="17" t="n">
        <x:v>861.48</x:v>
      </x:c>
      <x:c r="I60" s="17" t="n">
        <x:v>68974.19</x:v>
      </x:c>
      <x:c r="J60" s="17" t="n">
        <x:v>34515.74</x:v>
      </x:c>
      <x:c r="K60" s="17" t="n">
        <x:v>1586.41</x:v>
      </x:c>
      <x:c r="L60" s="17" t="n">
        <x:v>1655.38</x:v>
      </x:c>
      <x:c r="M60" s="17" t="n">
        <x:v>1241.54</x:v>
      </x:c>
      <x:c r="N60" s="16" t="n">
        <x:v>17</x:v>
      </x:c>
      <x:c r="O60" s="16" t="n">
        <x:v>3</x:v>
      </x:c>
      <x:c r="P60" s="16" t="n">
        <x:v>1</x:v>
      </x:c>
      <x:c r="Q60" s="16" t="n">
        <x:v>20</x:v>
      </x:c>
      <x:c r="R60" s="16" t="n">
        <x:v>14</x:v>
      </x:c>
      <x:c r="S60" s="16" t="n">
        <x:v>2</x:v>
      </x:c>
      <x:c r="T60" s="15" t="n">
        <x:f>YEAR(A60)</x:f>
        <x:v>2023</x:v>
      </x:c>
      <x:c r="U60" s="15" t="n">
        <x:f>ROUNDUP(MONTH(A60)/3,0)</x:f>
        <x:v>2</x:v>
      </x:c>
      <x:c r="V60" s="18" t="n">
        <x:f>I60-J60</x:f>
        <x:v>34458.450000000004</x:v>
      </x:c>
      <x:c r="W60" s="19" t="n">
        <x:f>IF(I60=0,"",V60/I60)</x:f>
        <x:v>0.499584699726086</x:v>
      </x:c>
      <x:c r="X60" s="18" t="n">
        <x:f>I60-J60-K60-L60-M60</x:f>
        <x:v>29975.12</x:v>
      </x:c>
      <x:c r="Y60" s="19" t="n">
        <x:f>IF(I60=0,"",X60/I60)</x:f>
        <x:v>0.43458458881503353</x:v>
      </x:c>
      <x:c r="Z60" s="18" t="n">
        <x:f>IF(E60=0,"",F60/E60)</x:f>
        <x:v>1157.9024193548387</x:v>
      </x:c>
      <x:c r="AA60" s="18" t="n">
        <x:f>IF(N60=0,"",M60/N60)</x:f>
        <x:v>73.03176470588235</x:v>
      </x:c>
      <x:c r="AB60" s="19" t="n">
        <x:f>IF(E60=0,"",O60/E60)</x:f>
        <x:v>0.04838709677419355</x:v>
      </x:c>
      <x:c r="AC60" s="19" t="n">
        <x:f>IF(E60=0,"",P60/E60)</x:f>
        <x:v>0.016129032258064516</x:v>
      </x:c>
      <x:c r="AD60" s="20" t="n">
        <x:f>IF(Q60=0,"",100*(R60-S60)/Q60)</x:f>
        <x:v>60</x:v>
      </x:c>
      <x:c r="AE60" s="19" t="n">
        <x:f>IF(F60=0,"",G60/F60)</x:f>
        <x:v>0.027222194750100816</x:v>
      </x:c>
      <x:c r="AF60" s="18" t="n">
        <x:f>ROUND(I60-(F60-G60-H60),2)</x:f>
        <x:v>0</x:v>
      </x:c>
    </x:row>
    <x:row r="61" ht="24" customHeight="1">
      <x:c r="A61" s="14" t="n">
        <x:v>45047</x:v>
      </x:c>
      <x:c r="B61" s="2" t="str">
        <x:v>Lojas</x:v>
      </x:c>
      <x:c r="C61" s="2" t="str">
        <x:v>Centro-Oeste</x:v>
      </x:c>
      <x:c r="D61" s="2" t="str">
        <x:v>M-0056</x:v>
      </x:c>
      <x:c r="E61" s="16" t="n">
        <x:v>58</x:v>
      </x:c>
      <x:c r="F61" s="17" t="n">
        <x:v>66859.06</x:v>
      </x:c>
      <x:c r="G61" s="17" t="n">
        <x:v>1820.05</x:v>
      </x:c>
      <x:c r="H61" s="17" t="n">
        <x:v>802.31</x:v>
      </x:c>
      <x:c r="I61" s="17" t="n">
        <x:v>64236.7</x:v>
      </x:c>
      <x:c r="J61" s="17" t="n">
        <x:v>33796.7</x:v>
      </x:c>
      <x:c r="K61" s="17" t="n">
        <x:v>1477.44</x:v>
      </x:c>
      <x:c r="L61" s="17" t="n">
        <x:v>1541.68</x:v>
      </x:c>
      <x:c r="M61" s="17" t="n">
        <x:v>1156.26</x:v>
      </x:c>
      <x:c r="N61" s="16" t="n">
        <x:v>16</x:v>
      </x:c>
      <x:c r="O61" s="16" t="n">
        <x:v>3</x:v>
      </x:c>
      <x:c r="P61" s="16" t="n">
        <x:v>1</x:v>
      </x:c>
      <x:c r="Q61" s="16" t="n">
        <x:v>19</x:v>
      </x:c>
      <x:c r="R61" s="16" t="n">
        <x:v>14</x:v>
      </x:c>
      <x:c r="S61" s="16" t="n">
        <x:v>2</x:v>
      </x:c>
      <x:c r="T61" s="15" t="n">
        <x:f>YEAR(A61)</x:f>
        <x:v>2023</x:v>
      </x:c>
      <x:c r="U61" s="15" t="n">
        <x:f>ROUNDUP(MONTH(A61)/3,0)</x:f>
        <x:v>2</x:v>
      </x:c>
      <x:c r="V61" s="18" t="n">
        <x:f>I61-J61</x:f>
        <x:v>30440</x:v>
      </x:c>
      <x:c r="W61" s="19" t="n">
        <x:f>IF(I61=0,"",V61/I61)</x:f>
        <x:v>0.47387241249939677</x:v>
      </x:c>
      <x:c r="X61" s="18" t="n">
        <x:f>I61-J61-K61-L61-M61</x:f>
        <x:v>26264.620000000003</x:v>
      </x:c>
      <x:c r="Y61" s="19" t="n">
        <x:f>IF(I61=0,"",X61/I61)</x:f>
        <x:v>0.4088724981202335</x:v>
      </x:c>
      <x:c r="Z61" s="18" t="n">
        <x:f>IF(E61=0,"",F61/E61)</x:f>
        <x:v>1152.7424137931034</x:v>
      </x:c>
      <x:c r="AA61" s="18" t="n">
        <x:f>IF(N61=0,"",M61/N61)</x:f>
        <x:v>72.26625</x:v>
      </x:c>
      <x:c r="AB61" s="19" t="n">
        <x:f>IF(E61=0,"",O61/E61)</x:f>
        <x:v>0.05172413793103448</x:v>
      </x:c>
      <x:c r="AC61" s="19" t="n">
        <x:f>IF(E61=0,"",P61/E61)</x:f>
        <x:v>0.017241379310344827</x:v>
      </x:c>
      <x:c r="AD61" s="20" t="n">
        <x:f>IF(Q61=0,"",100*(R61-S61)/Q61)</x:f>
        <x:v>63.1578947368421</x:v>
      </x:c>
      <x:c r="AE61" s="19" t="n">
        <x:f>IF(F61=0,"",G61/F61)</x:f>
        <x:v>0.027222189483369942</x:v>
      </x:c>
      <x:c r="AF61" s="18" t="n">
        <x:f>ROUND(I61-(F61-G61-H61),2)</x:f>
        <x:v>0</x:v>
      </x:c>
    </x:row>
    <x:row r="62" ht="24" customHeight="1">
      <x:c r="A62" s="14" t="n">
        <x:v>45047</x:v>
      </x:c>
      <x:c r="B62" s="2" t="str">
        <x:v>B2B</x:v>
      </x:c>
      <x:c r="C62" s="2" t="str">
        <x:v>Sudeste</x:v>
      </x:c>
      <x:c r="D62" s="2" t="str">
        <x:v>M-0057</x:v>
      </x:c>
      <x:c r="E62" s="16" t="n">
        <x:v>79</x:v>
      </x:c>
      <x:c r="F62" s="17" t="n">
        <x:v>92279.21</x:v>
      </x:c>
      <x:c r="G62" s="17" t="n">
        <x:v>2512.05</x:v>
      </x:c>
      <x:c r="H62" s="17" t="n">
        <x:v>1107.35</x:v>
      </x:c>
      <x:c r="I62" s="17" t="n">
        <x:v>88659.81</x:v>
      </x:c>
      <x:c r="J62" s="17" t="n">
        <x:v>48572.52</x:v>
      </x:c>
      <x:c r="K62" s="17" t="n">
        <x:v>2039.18</x:v>
      </x:c>
      <x:c r="L62" s="17" t="n">
        <x:v>2127.84</x:v>
      </x:c>
      <x:c r="M62" s="17" t="n">
        <x:v>1595.88</x:v>
      </x:c>
      <x:c r="N62" s="16" t="n">
        <x:v>22</x:v>
      </x:c>
      <x:c r="O62" s="16" t="n">
        <x:v>4</x:v>
      </x:c>
      <x:c r="P62" s="16" t="n">
        <x:v>2</x:v>
      </x:c>
      <x:c r="Q62" s="16" t="n">
        <x:v>25</x:v>
      </x:c>
      <x:c r="R62" s="16" t="n">
        <x:v>18</x:v>
      </x:c>
      <x:c r="S62" s="16" t="n">
        <x:v>3</x:v>
      </x:c>
      <x:c r="T62" s="15" t="n">
        <x:f>YEAR(A62)</x:f>
        <x:v>2023</x:v>
      </x:c>
      <x:c r="U62" s="15" t="n">
        <x:f>ROUNDUP(MONTH(A62)/3,0)</x:f>
        <x:v>2</x:v>
      </x:c>
      <x:c r="V62" s="18" t="n">
        <x:f>I62-J62</x:f>
        <x:v>40087.29</x:v>
      </x:c>
      <x:c r="W62" s="19" t="n">
        <x:f>IF(I62=0,"",V62/I62)</x:f>
        <x:v>0.4521472581545122</x:v>
      </x:c>
      <x:c r="X62" s="18" t="n">
        <x:f>I62-J62-K62-L62-M62</x:f>
        <x:v>34324.39000000001</x:v>
      </x:c>
      <x:c r="Y62" s="19" t="n">
        <x:f>IF(I62=0,"",X62/I62)</x:f>
        <x:v>0.38714711885802605</x:v>
      </x:c>
      <x:c r="Z62" s="18" t="n">
        <x:f>IF(E62=0,"",F62/E62)</x:f>
        <x:v>1168.0912658227849</x:v>
      </x:c>
      <x:c r="AA62" s="18" t="n">
        <x:f>IF(N62=0,"",M62/N62)</x:f>
        <x:v>72.54</x:v>
      </x:c>
      <x:c r="AB62" s="19" t="n">
        <x:f>IF(E62=0,"",O62/E62)</x:f>
        <x:v>0.05063291139240506</x:v>
      </x:c>
      <x:c r="AC62" s="19" t="n">
        <x:f>IF(E62=0,"",P62/E62)</x:f>
        <x:v>0.02531645569620253</x:v>
      </x:c>
      <x:c r="AD62" s="20" t="n">
        <x:f>IF(Q62=0,"",100*(R62-S62)/Q62)</x:f>
        <x:v>60</x:v>
      </x:c>
      <x:c r="AE62" s="19" t="n">
        <x:f>IF(F62=0,"",G62/F62)</x:f>
        <x:v>0.02722227465969854</x:v>
      </x:c>
      <x:c r="AF62" s="18" t="n">
        <x:f>ROUND(I62-(F62-G62-H62),2)</x:f>
        <x:v>0</x:v>
      </x:c>
    </x:row>
    <x:row r="63" ht="24" customHeight="1">
      <x:c r="A63" s="14" t="n">
        <x:v>45047</x:v>
      </x:c>
      <x:c r="B63" s="2" t="str">
        <x:v>B2B</x:v>
      </x:c>
      <x:c r="C63" s="2" t="str">
        <x:v>Nordeste</x:v>
      </x:c>
      <x:c r="D63" s="2" t="str">
        <x:v>M-0058</x:v>
      </x:c>
      <x:c r="E63" s="16" t="n">
        <x:v>56</x:v>
      </x:c>
      <x:c r="F63" s="17" t="n">
        <x:v>64567.52</x:v>
      </x:c>
      <x:c r="G63" s="17" t="n">
        <x:v>1757.67</x:v>
      </x:c>
      <x:c r="H63" s="17" t="n">
        <x:v>774.81</x:v>
      </x:c>
      <x:c r="I63" s="17" t="n">
        <x:v>62035.04</x:v>
      </x:c>
      <x:c r="J63" s="17" t="n">
        <x:v>32447.26</x:v>
      </x:c>
      <x:c r="K63" s="17" t="n">
        <x:v>1426.81</x:v>
      </x:c>
      <x:c r="L63" s="17" t="n">
        <x:v>1488.84</x:v>
      </x:c>
      <x:c r="M63" s="17" t="n">
        <x:v>1116.63</x:v>
      </x:c>
      <x:c r="N63" s="16" t="n">
        <x:v>16</x:v>
      </x:c>
      <x:c r="O63" s="16" t="n">
        <x:v>3</x:v>
      </x:c>
      <x:c r="P63" s="16" t="n">
        <x:v>1</x:v>
      </x:c>
      <x:c r="Q63" s="16" t="n">
        <x:v>18</x:v>
      </x:c>
      <x:c r="R63" s="16" t="n">
        <x:v>13</x:v>
      </x:c>
      <x:c r="S63" s="16" t="n">
        <x:v>2</x:v>
      </x:c>
      <x:c r="T63" s="15" t="n">
        <x:f>YEAR(A63)</x:f>
        <x:v>2023</x:v>
      </x:c>
      <x:c r="U63" s="15" t="n">
        <x:f>ROUNDUP(MONTH(A63)/3,0)</x:f>
        <x:v>2</x:v>
      </x:c>
      <x:c r="V63" s="18" t="n">
        <x:f>I63-J63</x:f>
        <x:v>29587.780000000002</x:v>
      </x:c>
      <x:c r="W63" s="19" t="n">
        <x:f>IF(I63=0,"",V63/I63)</x:f>
        <x:v>0.4769527028595452</x:v>
      </x:c>
      <x:c r="X63" s="18" t="n">
        <x:f>I63-J63-K63-L63-M63</x:f>
        <x:v>25555.5</x:v>
      </x:c>
      <x:c r="Y63" s="19" t="n">
        <x:f>IF(I63=0,"",X63/I63)</x:f>
        <x:v>0.4119526641717326</x:v>
      </x:c>
      <x:c r="Z63" s="18" t="n">
        <x:f>IF(E63=0,"",F63/E63)</x:f>
        <x:v>1152.9914285714285</x:v>
      </x:c>
      <x:c r="AA63" s="18" t="n">
        <x:f>IF(N63=0,"",M63/N63)</x:f>
        <x:v>69.789375</x:v>
      </x:c>
      <x:c r="AB63" s="19" t="n">
        <x:f>IF(E63=0,"",O63/E63)</x:f>
        <x:v>0.05357142857142857</x:v>
      </x:c>
      <x:c r="AC63" s="19" t="n">
        <x:f>IF(E63=0,"",P63/E63)</x:f>
        <x:v>0.017857142857142856</x:v>
      </x:c>
      <x:c r="AD63" s="20" t="n">
        <x:f>IF(Q63=0,"",100*(R63-S63)/Q63)</x:f>
        <x:v>61.111111111111114</x:v>
      </x:c>
      <x:c r="AE63" s="19" t="n">
        <x:f>IF(F63=0,"",G63/F63)</x:f>
        <x:v>0.027222200883664113</x:v>
      </x:c>
      <x:c r="AF63" s="18" t="n">
        <x:f>ROUND(I63-(F63-G63-H63),2)</x:f>
        <x:v>0</x:v>
      </x:c>
    </x:row>
    <x:row r="64" ht="24" customHeight="1">
      <x:c r="A64" s="14" t="n">
        <x:v>45047</x:v>
      </x:c>
      <x:c r="B64" s="2" t="str">
        <x:v>B2B</x:v>
      </x:c>
      <x:c r="C64" s="2" t="str">
        <x:v>Sul</x:v>
      </x:c>
      <x:c r="D64" s="2" t="str">
        <x:v>M-0059</x:v>
      </x:c>
      <x:c r="E64" s="16" t="n">
        <x:v>36</x:v>
      </x:c>
      <x:c r="F64" s="17" t="n">
        <x:v>41961.43</x:v>
      </x:c>
      <x:c r="G64" s="17" t="n">
        <x:v>1142.28</x:v>
      </x:c>
      <x:c r="H64" s="17" t="n">
        <x:v>503.54</x:v>
      </x:c>
      <x:c r="I64" s="17" t="n">
        <x:v>40315.61</x:v>
      </x:c>
      <x:c r="J64" s="17" t="n">
        <x:v>20510.3</x:v>
      </x:c>
      <x:c r="K64" s="17" t="n">
        <x:v>927.26</x:v>
      </x:c>
      <x:c r="L64" s="17" t="n">
        <x:v>967.57</x:v>
      </x:c>
      <x:c r="M64" s="17" t="n">
        <x:v>725.68</x:v>
      </x:c>
      <x:c r="N64" s="16" t="n">
        <x:v>10</x:v>
      </x:c>
      <x:c r="O64" s="16" t="n">
        <x:v>2</x:v>
      </x:c>
      <x:c r="P64" s="16" t="n">
        <x:v>1</x:v>
      </x:c>
      <x:c r="Q64" s="16" t="n">
        <x:v>12</x:v>
      </x:c>
      <x:c r="R64" s="16" t="n">
        <x:v>9</x:v>
      </x:c>
      <x:c r="S64" s="16" t="n">
        <x:v>1</x:v>
      </x:c>
      <x:c r="T64" s="15" t="n">
        <x:f>YEAR(A64)</x:f>
        <x:v>2023</x:v>
      </x:c>
      <x:c r="U64" s="15" t="n">
        <x:f>ROUNDUP(MONTH(A64)/3,0)</x:f>
        <x:v>2</x:v>
      </x:c>
      <x:c r="V64" s="18" t="n">
        <x:f>I64-J64</x:f>
        <x:v>19805.31</x:v>
      </x:c>
      <x:c r="W64" s="19" t="n">
        <x:f>IF(I64=0,"",V64/I64)</x:f>
        <x:v>0.4912566125131184</x:v>
      </x:c>
      <x:c r="X64" s="18" t="n">
        <x:f>I64-J64-K64-L64-M64</x:f>
        <x:v>17184.800000000003</x:v>
      </x:c>
      <x:c r="Y64" s="19" t="n">
        <x:f>IF(I64=0,"",X64/I64)</x:f>
        <x:v>0.42625672785305746</x:v>
      </x:c>
      <x:c r="Z64" s="18" t="n">
        <x:f>IF(E64=0,"",F64/E64)</x:f>
        <x:v>1165.5952777777777</x:v>
      </x:c>
      <x:c r="AA64" s="18" t="n">
        <x:f>IF(N64=0,"",M64/N64)</x:f>
        <x:v>72.568</x:v>
      </x:c>
      <x:c r="AB64" s="19" t="n">
        <x:f>IF(E64=0,"",O64/E64)</x:f>
        <x:v>0.05555555555555555</x:v>
      </x:c>
      <x:c r="AC64" s="19" t="n">
        <x:f>IF(E64=0,"",P64/E64)</x:f>
        <x:v>0.027777777777777776</x:v>
      </x:c>
      <x:c r="AD64" s="20" t="n">
        <x:f>IF(Q64=0,"",100*(R64-S64)/Q64)</x:f>
        <x:v>66.66666666666667</x:v>
      </x:c>
      <x:c r="AE64" s="19" t="n">
        <x:f>IF(F64=0,"",G64/F64)</x:f>
        <x:v>0.027222141857415248</x:v>
      </x:c>
      <x:c r="AF64" s="18" t="n">
        <x:f>ROUND(I64-(F64-G64-H64),2)</x:f>
        <x:v>0</x:v>
      </x:c>
    </x:row>
    <x:row r="65" ht="24" customHeight="1">
      <x:c r="A65" s="14" t="n">
        <x:v>45047</x:v>
      </x:c>
      <x:c r="B65" s="2" t="str">
        <x:v>B2B</x:v>
      </x:c>
      <x:c r="C65" s="2" t="str">
        <x:v>Centro-Oeste</x:v>
      </x:c>
      <x:c r="D65" s="2" t="str">
        <x:v>M-0060</x:v>
      </x:c>
      <x:c r="E65" s="16" t="n">
        <x:v>34</x:v>
      </x:c>
      <x:c r="F65" s="17" t="n">
        <x:v>39872.27</x:v>
      </x:c>
      <x:c r="G65" s="17" t="n">
        <x:v>1085.41</x:v>
      </x:c>
      <x:c r="H65" s="17" t="n">
        <x:v>478.47</x:v>
      </x:c>
      <x:c r="I65" s="17" t="n">
        <x:v>38308.39</x:v>
      </x:c>
      <x:c r="J65" s="17" t="n">
        <x:v>19247.7</x:v>
      </x:c>
      <x:c r="K65" s="17" t="n">
        <x:v>881.09</x:v>
      </x:c>
      <x:c r="L65" s="17" t="n">
        <x:v>919.4</x:v>
      </x:c>
      <x:c r="M65" s="17" t="n">
        <x:v>689.55</x:v>
      </x:c>
      <x:c r="N65" s="16" t="n">
        <x:v>10</x:v>
      </x:c>
      <x:c r="O65" s="16" t="n">
        <x:v>2</x:v>
      </x:c>
      <x:c r="P65" s="16" t="n">
        <x:v>1</x:v>
      </x:c>
      <x:c r="Q65" s="16" t="n">
        <x:v>11</x:v>
      </x:c>
      <x:c r="R65" s="16" t="n">
        <x:v>8</x:v>
      </x:c>
      <x:c r="S65" s="16" t="n">
        <x:v>1</x:v>
      </x:c>
      <x:c r="T65" s="15" t="n">
        <x:f>YEAR(A65)</x:f>
        <x:v>2023</x:v>
      </x:c>
      <x:c r="U65" s="15" t="n">
        <x:f>ROUNDUP(MONTH(A65)/3,0)</x:f>
        <x:v>2</x:v>
      </x:c>
      <x:c r="V65" s="18" t="n">
        <x:f>I65-J65</x:f>
        <x:v>19060.69</x:v>
      </x:c>
      <x:c r="W65" s="19" t="n">
        <x:f>IF(I65=0,"",V65/I65)</x:f>
        <x:v>0.4975591508805251</x:v>
      </x:c>
      <x:c r="X65" s="18" t="n">
        <x:f>I65-J65-K65-L65-M65</x:f>
        <x:v>16570.649999999998</x:v>
      </x:c>
      <x:c r="Y65" s="19" t="n">
        <x:f>IF(I65=0,"",X65/I65)</x:f>
        <x:v>0.43255929053661607</x:v>
      </x:c>
      <x:c r="Z65" s="18" t="n">
        <x:f>IF(E65=0,"",F65/E65)</x:f>
        <x:v>1172.7138235294117</x:v>
      </x:c>
      <x:c r="AA65" s="18" t="n">
        <x:f>IF(N65=0,"",M65/N65)</x:f>
        <x:v>68.955</x:v>
      </x:c>
      <x:c r="AB65" s="19" t="n">
        <x:f>IF(E65=0,"",O65/E65)</x:f>
        <x:v>0.058823529411764705</x:v>
      </x:c>
      <x:c r="AC65" s="19" t="n">
        <x:f>IF(E65=0,"",P65/E65)</x:f>
        <x:v>0.029411764705882353</x:v>
      </x:c>
      <x:c r="AD65" s="20" t="n">
        <x:f>IF(Q65=0,"",100*(R65-S65)/Q65)</x:f>
        <x:v>63.63636363636363</x:v>
      </x:c>
      <x:c r="AE65" s="19" t="n">
        <x:f>IF(F65=0,"",G65/F65)</x:f>
        <x:v>0.027222177217399467</x:v>
      </x:c>
      <x:c r="AF65" s="18" t="n">
        <x:f>ROUND(I65-(F65-G65-H65),2)</x:f>
        <x:v>0</x:v>
      </x:c>
    </x:row>
    <x:row r="66" ht="24" customHeight="1">
      <x:c r="A66" s="14" t="n">
        <x:v>45078</x:v>
      </x:c>
      <x:c r="B66" s="2" t="str">
        <x:v>E-commerce</x:v>
      </x:c>
      <x:c r="C66" s="2" t="str">
        <x:v>Sudeste</x:v>
      </x:c>
      <x:c r="D66" s="2" t="str">
        <x:v>M-0061</x:v>
      </x:c>
      <x:c r="E66" s="16" t="n">
        <x:v>160</x:v>
      </x:c>
      <x:c r="F66" s="17" t="n">
        <x:v>185525.77</x:v>
      </x:c>
      <x:c r="G66" s="17" t="n">
        <x:v>5153.49</x:v>
      </x:c>
      <x:c r="H66" s="17" t="n">
        <x:v>2319.07</x:v>
      </x:c>
      <x:c r="I66" s="17" t="n">
        <x:v>178053.21</x:v>
      </x:c>
      <x:c r="J66" s="17" t="n">
        <x:v>91431.18</x:v>
      </x:c>
      <x:c r="K66" s="17" t="n">
        <x:v>8012.39</x:v>
      </x:c>
      <x:c r="L66" s="17" t="n">
        <x:v>4273.28</x:v>
      </x:c>
      <x:c r="M66" s="17" t="n">
        <x:v>13353.99</x:v>
      </x:c>
      <x:c r="N66" s="16" t="n">
        <x:v>83</x:v>
      </x:c>
      <x:c r="O66" s="16" t="n">
        <x:v>10</x:v>
      </x:c>
      <x:c r="P66" s="16" t="n">
        <x:v>3</x:v>
      </x:c>
      <x:c r="Q66" s="16" t="n">
        <x:v>51</x:v>
      </x:c>
      <x:c r="R66" s="16" t="n">
        <x:v>36</x:v>
      </x:c>
      <x:c r="S66" s="16" t="n">
        <x:v>6</x:v>
      </x:c>
      <x:c r="T66" s="15" t="n">
        <x:f>YEAR(A66)</x:f>
        <x:v>2023</x:v>
      </x:c>
      <x:c r="U66" s="15" t="n">
        <x:f>ROUNDUP(MONTH(A66)/3,0)</x:f>
        <x:v>2</x:v>
      </x:c>
      <x:c r="V66" s="18" t="n">
        <x:f>I66-J66</x:f>
        <x:v>86622.03</x:v>
      </x:c>
      <x:c r="W66" s="19" t="n">
        <x:f>IF(I66=0,"",V66/I66)</x:f>
        <x:v>0.4864951887135312</x:v>
      </x:c>
      <x:c r="X66" s="18" t="n">
        <x:f>I66-J66-K66-L66-M66</x:f>
        <x:v>60982.37</x:v>
      </x:c>
      <x:c r="Y66" s="19" t="n">
        <x:f>IF(I66=0,"",X66/I66)</x:f>
        <x:v>0.34249520129404015</x:v>
      </x:c>
      <x:c r="Z66" s="18" t="n">
        <x:f>IF(E66=0,"",F66/E66)</x:f>
        <x:v>1159.5360624999998</x:v>
      </x:c>
      <x:c r="AA66" s="18" t="n">
        <x:f>IF(N66=0,"",M66/N66)</x:f>
        <x:v>160.89144578313253</x:v>
      </x:c>
      <x:c r="AB66" s="19" t="n">
        <x:f>IF(E66=0,"",O66/E66)</x:f>
        <x:v>0.0625</x:v>
      </x:c>
      <x:c r="AC66" s="19" t="n">
        <x:f>IF(E66=0,"",P66/E66)</x:f>
        <x:v>0.01875</x:v>
      </x:c>
      <x:c r="AD66" s="20" t="n">
        <x:f>IF(Q66=0,"",100*(R66-S66)/Q66)</x:f>
        <x:v>58.8235294117647</x:v>
      </x:c>
      <x:c r="AE66" s="19" t="n">
        <x:f>IF(F66=0,"",G66/F66)</x:f>
        <x:v>0.027777758313575523</x:v>
      </x:c>
      <x:c r="AF66" s="18" t="n">
        <x:f>ROUND(I66-(F66-G66-H66),2)</x:f>
        <x:v>0</x:v>
      </x:c>
    </x:row>
    <x:row r="67" ht="24" customHeight="1">
      <x:c r="A67" s="14" t="n">
        <x:v>45078</x:v>
      </x:c>
      <x:c r="B67" s="2" t="str">
        <x:v>E-commerce</x:v>
      </x:c>
      <x:c r="C67" s="2" t="str">
        <x:v>Nordeste</x:v>
      </x:c>
      <x:c r="D67" s="2" t="str">
        <x:v>M-0062</x:v>
      </x:c>
      <x:c r="E67" s="16" t="n">
        <x:v>98</x:v>
      </x:c>
      <x:c r="F67" s="17" t="n">
        <x:v>113797.07</x:v>
      </x:c>
      <x:c r="G67" s="17" t="n">
        <x:v>3161.03</x:v>
      </x:c>
      <x:c r="H67" s="17" t="n">
        <x:v>1422.46</x:v>
      </x:c>
      <x:c r="I67" s="17" t="n">
        <x:v>109213.58</x:v>
      </x:c>
      <x:c r="J67" s="17" t="n">
        <x:v>59729.93</x:v>
      </x:c>
      <x:c r="K67" s="17" t="n">
        <x:v>4914.61</x:v>
      </x:c>
      <x:c r="L67" s="17" t="n">
        <x:v>2621.13</x:v>
      </x:c>
      <x:c r="M67" s="17" t="n">
        <x:v>8191.02</x:v>
      </x:c>
      <x:c r="N67" s="16" t="n">
        <x:v>51</x:v>
      </x:c>
      <x:c r="O67" s="16" t="n">
        <x:v>6</x:v>
      </x:c>
      <x:c r="P67" s="16" t="n">
        <x:v>2</x:v>
      </x:c>
      <x:c r="Q67" s="16" t="n">
        <x:v>31</x:v>
      </x:c>
      <x:c r="R67" s="16" t="n">
        <x:v>22</x:v>
      </x:c>
      <x:c r="S67" s="16" t="n">
        <x:v>4</x:v>
      </x:c>
      <x:c r="T67" s="15" t="n">
        <x:f>YEAR(A67)</x:f>
        <x:v>2023</x:v>
      </x:c>
      <x:c r="U67" s="15" t="n">
        <x:f>ROUNDUP(MONTH(A67)/3,0)</x:f>
        <x:v>2</x:v>
      </x:c>
      <x:c r="V67" s="18" t="n">
        <x:f>I67-J67</x:f>
        <x:v>49483.65</x:v>
      </x:c>
      <x:c r="W67" s="19" t="n">
        <x:f>IF(I67=0,"",V67/I67)</x:f>
        <x:v>0.45309063213567397</x:v>
      </x:c>
      <x:c r="X67" s="18" t="n">
        <x:f>I67-J67-K67-L67-M67</x:f>
        <x:v>33756.89</x:v>
      </x:c>
      <x:c r="Y67" s="19" t="n">
        <x:f>IF(I67=0,"",X67/I67)</x:f>
        <x:v>0.3090905911151342</x:v>
      </x:c>
      <x:c r="Z67" s="18" t="n">
        <x:f>IF(E67=0,"",F67/E67)</x:f>
        <x:v>1161.1945918367348</x:v>
      </x:c>
      <x:c r="AA67" s="18" t="n">
        <x:f>IF(N67=0,"",M67/N67)</x:f>
        <x:v>160.60823529411766</x:v>
      </x:c>
      <x:c r="AB67" s="19" t="n">
        <x:f>IF(E67=0,"",O67/E67)</x:f>
        <x:v>0.061224489795918366</x:v>
      </x:c>
      <x:c r="AC67" s="19" t="n">
        <x:f>IF(E67=0,"",P67/E67)</x:f>
        <x:v>0.02040816326530612</x:v>
      </x:c>
      <x:c r="AD67" s="20" t="n">
        <x:f>IF(Q67=0,"",100*(R67-S67)/Q67)</x:f>
        <x:v>58.064516129032256</x:v>
      </x:c>
      <x:c r="AE67" s="19" t="n">
        <x:f>IF(F67=0,"",G67/F67)</x:f>
        <x:v>0.027777780218770132</x:v>
      </x:c>
      <x:c r="AF67" s="18" t="n">
        <x:f>ROUND(I67-(F67-G67-H67),2)</x:f>
        <x:v>0</x:v>
      </x:c>
    </x:row>
    <x:row r="68" ht="24" customHeight="1">
      <x:c r="A68" s="14" t="n">
        <x:v>45078</x:v>
      </x:c>
      <x:c r="B68" s="2" t="str">
        <x:v>E-commerce</x:v>
      </x:c>
      <x:c r="C68" s="2" t="str">
        <x:v>Sul</x:v>
      </x:c>
      <x:c r="D68" s="2" t="str">
        <x:v>M-0063</x:v>
      </x:c>
      <x:c r="E68" s="16" t="n">
        <x:v>84</x:v>
      </x:c>
      <x:c r="F68" s="17" t="n">
        <x:v>98191.78</x:v>
      </x:c>
      <x:c r="G68" s="17" t="n">
        <x:v>2727.55</x:v>
      </x:c>
      <x:c r="H68" s="17" t="n">
        <x:v>1227.4</x:v>
      </x:c>
      <x:c r="I68" s="17" t="n">
        <x:v>94236.83</x:v>
      </x:c>
      <x:c r="J68" s="17" t="n">
        <x:v>50109.71</x:v>
      </x:c>
      <x:c r="K68" s="17" t="n">
        <x:v>4240.66</x:v>
      </x:c>
      <x:c r="L68" s="17" t="n">
        <x:v>2261.68</x:v>
      </x:c>
      <x:c r="M68" s="17" t="n">
        <x:v>7067.76</x:v>
      </x:c>
      <x:c r="N68" s="16" t="n">
        <x:v>44</x:v>
      </x:c>
      <x:c r="O68" s="16" t="n">
        <x:v>5</x:v>
      </x:c>
      <x:c r="P68" s="16" t="n">
        <x:v>2</x:v>
      </x:c>
      <x:c r="Q68" s="16" t="n">
        <x:v>27</x:v>
      </x:c>
      <x:c r="R68" s="16" t="n">
        <x:v>19</x:v>
      </x:c>
      <x:c r="S68" s="16" t="n">
        <x:v>3</x:v>
      </x:c>
      <x:c r="T68" s="15" t="n">
        <x:f>YEAR(A68)</x:f>
        <x:v>2023</x:v>
      </x:c>
      <x:c r="U68" s="15" t="n">
        <x:f>ROUNDUP(MONTH(A68)/3,0)</x:f>
        <x:v>2</x:v>
      </x:c>
      <x:c r="V68" s="18" t="n">
        <x:f>I68-J68</x:f>
        <x:v>44127.12</x:v>
      </x:c>
      <x:c r="W68" s="19" t="n">
        <x:f>IF(I68=0,"",V68/I68)</x:f>
        <x:v>0.4682576865117386</x:v>
      </x:c>
      <x:c r="X68" s="18" t="n">
        <x:f>I68-J68-K68-L68-M68</x:f>
        <x:v>30557.020000000004</x:v>
      </x:c>
      <x:c r="Y68" s="19" t="n">
        <x:f>IF(I68=0,"",X68/I68)</x:f>
        <x:v>0.3242577238644382</x:v>
      </x:c>
      <x:c r="Z68" s="18" t="n">
        <x:f>IF(E68=0,"",F68/E68)</x:f>
        <x:v>1168.949761904762</x:v>
      </x:c>
      <x:c r="AA68" s="18" t="n">
        <x:f>IF(N68=0,"",M68/N68)</x:f>
        <x:v>160.63090909090909</x:v>
      </x:c>
      <x:c r="AB68" s="19" t="n">
        <x:f>IF(E68=0,"",O68/E68)</x:f>
        <x:v>0.05952380952380952</x:v>
      </x:c>
      <x:c r="AC68" s="19" t="n">
        <x:f>IF(E68=0,"",P68/E68)</x:f>
        <x:v>0.023809523809523808</x:v>
      </x:c>
      <x:c r="AD68" s="20" t="n">
        <x:f>IF(Q68=0,"",100*(R68-S68)/Q68)</x:f>
        <x:v>59.25925925925926</x:v>
      </x:c>
      <x:c r="AE68" s="19" t="n">
        <x:f>IF(F68=0,"",G68/F68)</x:f>
        <x:v>0.02777778343563993</x:v>
      </x:c>
      <x:c r="AF68" s="18" t="n">
        <x:f>ROUND(I68-(F68-G68-H68),2)</x:f>
        <x:v>0</x:v>
      </x:c>
    </x:row>
    <x:row r="69" ht="24" customHeight="1">
      <x:c r="A69" s="14" t="n">
        <x:v>45078</x:v>
      </x:c>
      <x:c r="B69" s="2" t="str">
        <x:v>E-commerce</x:v>
      </x:c>
      <x:c r="C69" s="2" t="str">
        <x:v>Centro-Oeste</x:v>
      </x:c>
      <x:c r="D69" s="2" t="str">
        <x:v>M-0064</x:v>
      </x:c>
      <x:c r="E69" s="16" t="n">
        <x:v>62</x:v>
      </x:c>
      <x:c r="F69" s="17" t="n">
        <x:v>72548.06</x:v>
      </x:c>
      <x:c r="G69" s="17" t="n">
        <x:v>2015.22</x:v>
      </x:c>
      <x:c r="H69" s="17" t="n">
        <x:v>906.85</x:v>
      </x:c>
      <x:c r="I69" s="17" t="n">
        <x:v>69625.99</x:v>
      </x:c>
      <x:c r="J69" s="17" t="n">
        <x:v>36882.13</x:v>
      </x:c>
      <x:c r="K69" s="17" t="n">
        <x:v>3133.17</x:v>
      </x:c>
      <x:c r="L69" s="17" t="n">
        <x:v>1671.02</x:v>
      </x:c>
      <x:c r="M69" s="17" t="n">
        <x:v>5221.95</x:v>
      </x:c>
      <x:c r="N69" s="16" t="n">
        <x:v>32</x:v>
      </x:c>
      <x:c r="O69" s="16" t="n">
        <x:v>4</x:v>
      </x:c>
      <x:c r="P69" s="16" t="n">
        <x:v>1</x:v>
      </x:c>
      <x:c r="Q69" s="16" t="n">
        <x:v>20</x:v>
      </x:c>
      <x:c r="R69" s="16" t="n">
        <x:v>14</x:v>
      </x:c>
      <x:c r="S69" s="16" t="n">
        <x:v>2</x:v>
      </x:c>
      <x:c r="T69" s="15" t="n">
        <x:f>YEAR(A69)</x:f>
        <x:v>2023</x:v>
      </x:c>
      <x:c r="U69" s="15" t="n">
        <x:f>ROUNDUP(MONTH(A69)/3,0)</x:f>
        <x:v>2</x:v>
      </x:c>
      <x:c r="V69" s="18" t="n">
        <x:f>I69-J69</x:f>
        <x:v>32743.860000000008</x:v>
      </x:c>
      <x:c r="W69" s="19" t="n">
        <x:f>IF(I69=0,"",V69/I69)</x:f>
        <x:v>0.470282146077923</x:v>
      </x:c>
      <x:c r="X69" s="18" t="n">
        <x:f>I69-J69-K69-L69-M69</x:f>
        <x:v>22717.72000000001</x:v>
      </x:c>
      <x:c r="Y69" s="19" t="n">
        <x:f>IF(I69=0,"",X69/I69)</x:f>
        <x:v>0.32628218284580235</x:v>
      </x:c>
      <x:c r="Z69" s="18" t="n">
        <x:f>IF(E69=0,"",F69/E69)</x:f>
        <x:v>1170.1299999999999</x:v>
      </x:c>
      <x:c r="AA69" s="18" t="n">
        <x:f>IF(N69=0,"",M69/N69)</x:f>
        <x:v>163.1859375</x:v>
      </x:c>
      <x:c r="AB69" s="19" t="n">
        <x:f>IF(E69=0,"",O69/E69)</x:f>
        <x:v>0.06451612903225806</x:v>
      </x:c>
      <x:c r="AC69" s="19" t="n">
        <x:f>IF(E69=0,"",P69/E69)</x:f>
        <x:v>0.016129032258064516</x:v>
      </x:c>
      <x:c r="AD69" s="20" t="n">
        <x:f>IF(Q69=0,"",100*(R69-S69)/Q69)</x:f>
        <x:v>60</x:v>
      </x:c>
      <x:c r="AE69" s="19" t="n">
        <x:f>IF(F69=0,"",G69/F69)</x:f>
        <x:v>0.02777772417346515</x:v>
      </x:c>
      <x:c r="AF69" s="18" t="n">
        <x:f>ROUND(I69-(F69-G69-H69),2)</x:f>
        <x:v>0</x:v>
      </x:c>
    </x:row>
    <x:row r="70" ht="24" customHeight="1">
      <x:c r="A70" s="14" t="n">
        <x:v>45078</x:v>
      </x:c>
      <x:c r="B70" s="2" t="str">
        <x:v>Lojas</x:v>
      </x:c>
      <x:c r="C70" s="2" t="str">
        <x:v>Sudeste</x:v>
      </x:c>
      <x:c r="D70" s="2" t="str">
        <x:v>M-0065</x:v>
      </x:c>
      <x:c r="E70" s="16" t="n">
        <x:v>120</x:v>
      </x:c>
      <x:c r="F70" s="17" t="n">
        <x:v>139978.78</x:v>
      </x:c>
      <x:c r="G70" s="17" t="n">
        <x:v>3888.3</x:v>
      </x:c>
      <x:c r="H70" s="17" t="n">
        <x:v>1749.73</x:v>
      </x:c>
      <x:c r="I70" s="17" t="n">
        <x:v>134340.75</x:v>
      </x:c>
      <x:c r="J70" s="17" t="n">
        <x:v>73867.91</x:v>
      </x:c>
      <x:c r="K70" s="17" t="n">
        <x:v>3224.18</x:v>
      </x:c>
      <x:c r="L70" s="17" t="n">
        <x:v>3224.18</x:v>
      </x:c>
      <x:c r="M70" s="17" t="n">
        <x:v>2418.13</x:v>
      </x:c>
      <x:c r="N70" s="16" t="n">
        <x:v>34</x:v>
      </x:c>
      <x:c r="O70" s="16" t="n">
        <x:v>7</x:v>
      </x:c>
      <x:c r="P70" s="16" t="n">
        <x:v>2</x:v>
      </x:c>
      <x:c r="Q70" s="16" t="n">
        <x:v>38</x:v>
      </x:c>
      <x:c r="R70" s="16" t="n">
        <x:v>27</x:v>
      </x:c>
      <x:c r="S70" s="16" t="n">
        <x:v>5</x:v>
      </x:c>
      <x:c r="T70" s="15" t="n">
        <x:f>YEAR(A70)</x:f>
        <x:v>2023</x:v>
      </x:c>
      <x:c r="U70" s="15" t="n">
        <x:f>ROUNDUP(MONTH(A70)/3,0)</x:f>
        <x:v>2</x:v>
      </x:c>
      <x:c r="V70" s="18" t="n">
        <x:f>I70-J70</x:f>
        <x:v>60472.84</x:v>
      </x:c>
      <x:c r="W70" s="19" t="n">
        <x:f>IF(I70=0,"",V70/I70)</x:f>
        <x:v>0.4501451718856713</x:v>
      </x:c>
      <x:c r="X70" s="18" t="n">
        <x:f>I70-J70-K70-L70-M70</x:f>
        <x:v>51606.35</x:v>
      </x:c>
      <x:c r="Y70" s="19" t="n">
        <x:f>IF(I70=0,"",X70/I70)</x:f>
        <x:v>0.38414516816379246</x:v>
      </x:c>
      <x:c r="Z70" s="18" t="n">
        <x:f>IF(E70=0,"",F70/E70)</x:f>
        <x:v>1166.4898333333333</x:v>
      </x:c>
      <x:c r="AA70" s="18" t="n">
        <x:f>IF(N70=0,"",M70/N70)</x:f>
        <x:v>71.1214705882353</x:v>
      </x:c>
      <x:c r="AB70" s="19" t="n">
        <x:f>IF(E70=0,"",O70/E70)</x:f>
        <x:v>0.058333333333333334</x:v>
      </x:c>
      <x:c r="AC70" s="19" t="n">
        <x:f>IF(E70=0,"",P70/E70)</x:f>
        <x:v>0.016666666666666666</x:v>
      </x:c>
      <x:c r="AD70" s="20" t="n">
        <x:f>IF(Q70=0,"",100*(R70-S70)/Q70)</x:f>
        <x:v>57.89473684210526</x:v>
      </x:c>
      <x:c r="AE70" s="19" t="n">
        <x:f>IF(F70=0,"",G70/F70)</x:f>
        <x:v>0.027777781746633312</x:v>
      </x:c>
      <x:c r="AF70" s="18" t="n">
        <x:f>ROUND(I70-(F70-G70-H70),2)</x:f>
        <x:v>0</x:v>
      </x:c>
    </x:row>
    <x:row r="71" ht="24" customHeight="1">
      <x:c r="A71" s="14" t="n">
        <x:v>45078</x:v>
      </x:c>
      <x:c r="B71" s="2" t="str">
        <x:v>Lojas</x:v>
      </x:c>
      <x:c r="C71" s="2" t="str">
        <x:v>Nordeste</x:v>
      </x:c>
      <x:c r="D71" s="2" t="str">
        <x:v>M-0066</x:v>
      </x:c>
      <x:c r="E71" s="16" t="n">
        <x:v>76</x:v>
      </x:c>
      <x:c r="F71" s="17" t="n">
        <x:v>88343.03</x:v>
      </x:c>
      <x:c r="G71" s="17" t="n">
        <x:v>2453.97</x:v>
      </x:c>
      <x:c r="H71" s="17" t="n">
        <x:v>1104.29</x:v>
      </x:c>
      <x:c r="I71" s="17" t="n">
        <x:v>84784.77</x:v>
      </x:c>
      <x:c r="J71" s="17" t="n">
        <x:v>45095.94</x:v>
      </x:c>
      <x:c r="K71" s="17" t="n">
        <x:v>2034.83</x:v>
      </x:c>
      <x:c r="L71" s="17" t="n">
        <x:v>2034.83</x:v>
      </x:c>
      <x:c r="M71" s="17" t="n">
        <x:v>1526.13</x:v>
      </x:c>
      <x:c r="N71" s="16" t="n">
        <x:v>21</x:v>
      </x:c>
      <x:c r="O71" s="16" t="n">
        <x:v>5</x:v>
      </x:c>
      <x:c r="P71" s="16" t="n">
        <x:v>2</x:v>
      </x:c>
      <x:c r="Q71" s="16" t="n">
        <x:v>24</x:v>
      </x:c>
      <x:c r="R71" s="16" t="n">
        <x:v>17</x:v>
      </x:c>
      <x:c r="S71" s="16" t="n">
        <x:v>3</x:v>
      </x:c>
      <x:c r="T71" s="15" t="n">
        <x:f>YEAR(A71)</x:f>
        <x:v>2023</x:v>
      </x:c>
      <x:c r="U71" s="15" t="n">
        <x:f>ROUNDUP(MONTH(A71)/3,0)</x:f>
        <x:v>2</x:v>
      </x:c>
      <x:c r="V71" s="18" t="n">
        <x:f>I71-J71</x:f>
        <x:v>39688.83</x:v>
      </x:c>
      <x:c r="W71" s="19" t="n">
        <x:f>IF(I71=0,"",V71/I71)</x:f>
        <x:v>0.4681127282647579</x:v>
      </x:c>
      <x:c r="X71" s="18" t="n">
        <x:f>I71-J71-K71-L71-M71</x:f>
        <x:v>34093.04</x:v>
      </x:c>
      <x:c r="Y71" s="19" t="n">
        <x:f>IF(I71=0,"",X71/I71)</x:f>
        <x:v>0.40211278511459075</x:v>
      </x:c>
      <x:c r="Z71" s="18" t="n">
        <x:f>IF(E71=0,"",F71/E71)</x:f>
        <x:v>1162.4082894736841</x:v>
      </x:c>
      <x:c r="AA71" s="18" t="n">
        <x:f>IF(N71=0,"",M71/N71)</x:f>
        <x:v>72.67285714285715</x:v>
      </x:c>
      <x:c r="AB71" s="19" t="n">
        <x:f>IF(E71=0,"",O71/E71)</x:f>
        <x:v>0.06578947368421052</x:v>
      </x:c>
      <x:c r="AC71" s="19" t="n">
        <x:f>IF(E71=0,"",P71/E71)</x:f>
        <x:v>0.02631578947368421</x:v>
      </x:c>
      <x:c r="AD71" s="20" t="n">
        <x:f>IF(Q71=0,"",100*(R71-S71)/Q71)</x:f>
        <x:v>58.333333333333336</x:v>
      </x:c>
      <x:c r="AE71" s="19" t="n">
        <x:f>IF(F71=0,"",G71/F71)</x:f>
        <x:v>0.02777774319037959</x:v>
      </x:c>
      <x:c r="AF71" s="18" t="n">
        <x:f>ROUND(I71-(F71-G71-H71),2)</x:f>
        <x:v>0</x:v>
      </x:c>
    </x:row>
    <x:row r="72" ht="24" customHeight="1">
      <x:c r="A72" s="14" t="n">
        <x:v>45078</x:v>
      </x:c>
      <x:c r="B72" s="2" t="str">
        <x:v>Lojas</x:v>
      </x:c>
      <x:c r="C72" s="2" t="str">
        <x:v>Sul</x:v>
      </x:c>
      <x:c r="D72" s="2" t="str">
        <x:v>M-0067</x:v>
      </x:c>
      <x:c r="E72" s="16" t="n">
        <x:v>61</x:v>
      </x:c>
      <x:c r="F72" s="17" t="n">
        <x:v>70515.32</x:v>
      </x:c>
      <x:c r="G72" s="17" t="n">
        <x:v>1958.76</x:v>
      </x:c>
      <x:c r="H72" s="17" t="n">
        <x:v>881.44</x:v>
      </x:c>
      <x:c r="I72" s="17" t="n">
        <x:v>67675.12</x:v>
      </x:c>
      <x:c r="J72" s="17" t="n">
        <x:v>35607.55</x:v>
      </x:c>
      <x:c r="K72" s="17" t="n">
        <x:v>1624.2</x:v>
      </x:c>
      <x:c r="L72" s="17" t="n">
        <x:v>1624.2</x:v>
      </x:c>
      <x:c r="M72" s="17" t="n">
        <x:v>1218.15</x:v>
      </x:c>
      <x:c r="N72" s="16" t="n">
        <x:v>17</x:v>
      </x:c>
      <x:c r="O72" s="16" t="n">
        <x:v>4</x:v>
      </x:c>
      <x:c r="P72" s="16" t="n">
        <x:v>1</x:v>
      </x:c>
      <x:c r="Q72" s="16" t="n">
        <x:v>20</x:v>
      </x:c>
      <x:c r="R72" s="16" t="n">
        <x:v>14</x:v>
      </x:c>
      <x:c r="S72" s="16" t="n">
        <x:v>2</x:v>
      </x:c>
      <x:c r="T72" s="15" t="n">
        <x:f>YEAR(A72)</x:f>
        <x:v>2023</x:v>
      </x:c>
      <x:c r="U72" s="15" t="n">
        <x:f>ROUNDUP(MONTH(A72)/3,0)</x:f>
        <x:v>2</x:v>
      </x:c>
      <x:c r="V72" s="18" t="n">
        <x:f>I72-J72</x:f>
        <x:v>32067.569999999992</x:v>
      </x:c>
      <x:c r="W72" s="19" t="n">
        <x:f>IF(I72=0,"",V72/I72)</x:f>
        <x:v>0.47384577966023544</x:v>
      </x:c>
      <x:c r="X72" s="18" t="n">
        <x:f>I72-J72-K72-L72-M72</x:f>
        <x:v>27601.01999999999</x:v>
      </x:c>
      <x:c r="Y72" s="19" t="n">
        <x:f>IF(I72=0,"",X72/I72)</x:f>
        <x:v>0.4078458966899503</x:v>
      </x:c>
      <x:c r="Z72" s="18" t="n">
        <x:f>IF(E72=0,"",F72/E72)</x:f>
        <x:v>1155.9888524590165</x:v>
      </x:c>
      <x:c r="AA72" s="18" t="n">
        <x:f>IF(N72=0,"",M72/N72)</x:f>
        <x:v>71.65588235294118</x:v>
      </x:c>
      <x:c r="AB72" s="19" t="n">
        <x:f>IF(E72=0,"",O72/E72)</x:f>
        <x:v>0.06557377049180328</x:v>
      </x:c>
      <x:c r="AC72" s="19" t="n">
        <x:f>IF(E72=0,"",P72/E72)</x:f>
        <x:v>0.01639344262295082</x:v>
      </x:c>
      <x:c r="AD72" s="20" t="n">
        <x:f>IF(Q72=0,"",100*(R72-S72)/Q72)</x:f>
        <x:v>60</x:v>
      </x:c>
      <x:c r="AE72" s="19" t="n">
        <x:f>IF(F72=0,"",G72/F72)</x:f>
        <x:v>0.027777793534794988</x:v>
      </x:c>
      <x:c r="AF72" s="18" t="n">
        <x:f>ROUND(I72-(F72-G72-H72),2)</x:f>
        <x:v>0</x:v>
      </x:c>
    </x:row>
    <x:row r="73" ht="24" customHeight="1">
      <x:c r="A73" s="14" t="n">
        <x:v>45078</x:v>
      </x:c>
      <x:c r="B73" s="2" t="str">
        <x:v>Lojas</x:v>
      </x:c>
      <x:c r="C73" s="2" t="str">
        <x:v>Centro-Oeste</x:v>
      </x:c>
      <x:c r="D73" s="2" t="str">
        <x:v>M-0068</x:v>
      </x:c>
      <x:c r="E73" s="16" t="n">
        <x:v>59</x:v>
      </x:c>
      <x:c r="F73" s="17" t="n">
        <x:v>68707.85</x:v>
      </x:c>
      <x:c r="G73" s="17" t="n">
        <x:v>1908.55</x:v>
      </x:c>
      <x:c r="H73" s="17" t="n">
        <x:v>858.85</x:v>
      </x:c>
      <x:c r="I73" s="17" t="n">
        <x:v>65940.45</x:v>
      </x:c>
      <x:c r="J73" s="17" t="n">
        <x:v>35115.18</x:v>
      </x:c>
      <x:c r="K73" s="17" t="n">
        <x:v>1582.57</x:v>
      </x:c>
      <x:c r="L73" s="17" t="n">
        <x:v>1582.57</x:v>
      </x:c>
      <x:c r="M73" s="17" t="n">
        <x:v>1186.93</x:v>
      </x:c>
      <x:c r="N73" s="16" t="n">
        <x:v>17</x:v>
      </x:c>
      <x:c r="O73" s="16" t="n">
        <x:v>4</x:v>
      </x:c>
      <x:c r="P73" s="16" t="n">
        <x:v>1</x:v>
      </x:c>
      <x:c r="Q73" s="16" t="n">
        <x:v>19</x:v>
      </x:c>
      <x:c r="R73" s="16" t="n">
        <x:v>13</x:v>
      </x:c>
      <x:c r="S73" s="16" t="n">
        <x:v>2</x:v>
      </x:c>
      <x:c r="T73" s="15" t="n">
        <x:f>YEAR(A73)</x:f>
        <x:v>2023</x:v>
      </x:c>
      <x:c r="U73" s="15" t="n">
        <x:f>ROUNDUP(MONTH(A73)/3,0)</x:f>
        <x:v>2</x:v>
      </x:c>
      <x:c r="V73" s="18" t="n">
        <x:f>I73-J73</x:f>
        <x:v>30825.269999999997</x:v>
      </x:c>
      <x:c r="W73" s="19" t="n">
        <x:f>IF(I73=0,"",V73/I73)</x:f>
        <x:v>0.4674713320882705</x:v>
      </x:c>
      <x:c r="X73" s="18" t="n">
        <x:f>I73-J73-K73-L73-M73</x:f>
        <x:v>26473.199999999997</x:v>
      </x:c>
      <x:c r="Y73" s="19" t="n">
        <x:f>IF(I73=0,"",X73/I73)</x:f>
        <x:v>0.40147132753871106</x:v>
      </x:c>
      <x:c r="Z73" s="18" t="n">
        <x:f>IF(E73=0,"",F73/E73)</x:f>
        <x:v>1164.5398305084748</x:v>
      </x:c>
      <x:c r="AA73" s="18" t="n">
        <x:f>IF(N73=0,"",M73/N73)</x:f>
        <x:v>69.81941176470589</x:v>
      </x:c>
      <x:c r="AB73" s="19" t="n">
        <x:f>IF(E73=0,"",O73/E73)</x:f>
        <x:v>0.06779661016949153</x:v>
      </x:c>
      <x:c r="AC73" s="19" t="n">
        <x:f>IF(E73=0,"",P73/E73)</x:f>
        <x:v>0.01694915254237288</x:v>
      </x:c>
      <x:c r="AD73" s="20" t="n">
        <x:f>IF(Q73=0,"",100*(R73-S73)/Q73)</x:f>
        <x:v>57.89473684210526</x:v>
      </x:c>
      <x:c r="AE73" s="19" t="n">
        <x:f>IF(F73=0,"",G73/F73)</x:f>
        <x:v>0.0277777575633643</x:v>
      </x:c>
      <x:c r="AF73" s="18" t="n">
        <x:f>ROUND(I73-(F73-G73-H73),2)</x:f>
        <x:v>0</x:v>
      </x:c>
    </x:row>
    <x:row r="74" ht="24" customHeight="1">
      <x:c r="A74" s="14" t="n">
        <x:v>45078</x:v>
      </x:c>
      <x:c r="B74" s="2" t="str">
        <x:v>B2B</x:v>
      </x:c>
      <x:c r="C74" s="2" t="str">
        <x:v>Sudeste</x:v>
      </x:c>
      <x:c r="D74" s="2" t="str">
        <x:v>M-0069</x:v>
      </x:c>
      <x:c r="E74" s="16" t="n">
        <x:v>85</x:v>
      </x:c>
      <x:c r="F74" s="17" t="n">
        <x:v>99322.46</x:v>
      </x:c>
      <x:c r="G74" s="17" t="n">
        <x:v>2758.96</x:v>
      </x:c>
      <x:c r="H74" s="17" t="n">
        <x:v>1241.53</x:v>
      </x:c>
      <x:c r="I74" s="17" t="n">
        <x:v>95321.97</x:v>
      </x:c>
      <x:c r="J74" s="17" t="n">
        <x:v>48953.04</x:v>
      </x:c>
      <x:c r="K74" s="17" t="n">
        <x:v>2287.73</x:v>
      </x:c>
      <x:c r="L74" s="17" t="n">
        <x:v>2287.73</x:v>
      </x:c>
      <x:c r="M74" s="17" t="n">
        <x:v>1715.8</x:v>
      </x:c>
      <x:c r="N74" s="16" t="n">
        <x:v>24</x:v>
      </x:c>
      <x:c r="O74" s="16" t="n">
        <x:v>5</x:v>
      </x:c>
      <x:c r="P74" s="16" t="n">
        <x:v>2</x:v>
      </x:c>
      <x:c r="Q74" s="16" t="n">
        <x:v>27</x:v>
      </x:c>
      <x:c r="R74" s="16" t="n">
        <x:v>19</x:v>
      </x:c>
      <x:c r="S74" s="16" t="n">
        <x:v>3</x:v>
      </x:c>
      <x:c r="T74" s="15" t="n">
        <x:f>YEAR(A74)</x:f>
        <x:v>2023</x:v>
      </x:c>
      <x:c r="U74" s="15" t="n">
        <x:f>ROUNDUP(MONTH(A74)/3,0)</x:f>
        <x:v>2</x:v>
      </x:c>
      <x:c r="V74" s="18" t="n">
        <x:f>I74-J74</x:f>
        <x:v>46368.93</x:v>
      </x:c>
      <x:c r="W74" s="19" t="n">
        <x:f>IF(I74=0,"",V74/I74)</x:f>
        <x:v>0.48644535986824444</x:v>
      </x:c>
      <x:c r="X74" s="18" t="n">
        <x:f>I74-J74-K74-L74-M74</x:f>
        <x:v>40077.66999999999</x:v>
      </x:c>
      <x:c r="Y74" s="19" t="n">
        <x:f>IF(I74=0,"",X74/I74)</x:f>
        <x:v>0.4204452551704501</x:v>
      </x:c>
      <x:c r="Z74" s="18" t="n">
        <x:f>IF(E74=0,"",F74/E74)</x:f>
        <x:v>1168.4995294117648</x:v>
      </x:c>
      <x:c r="AA74" s="18" t="n">
        <x:f>IF(N74=0,"",M74/N74)</x:f>
        <x:v>71.49166666666666</x:v>
      </x:c>
      <x:c r="AB74" s="19" t="n">
        <x:f>IF(E74=0,"",O74/E74)</x:f>
        <x:v>0.058823529411764705</x:v>
      </x:c>
      <x:c r="AC74" s="19" t="n">
        <x:f>IF(E74=0,"",P74/E74)</x:f>
        <x:v>0.023529411764705882</x:v>
      </x:c>
      <x:c r="AD74" s="20" t="n">
        <x:f>IF(Q74=0,"",100*(R74-S74)/Q74)</x:f>
        <x:v>59.25925925925926</x:v>
      </x:c>
      <x:c r="AE74" s="19" t="n">
        <x:f>IF(F74=0,"",G74/F74)</x:f>
        <x:v>0.027777805745044976</x:v>
      </x:c>
      <x:c r="AF74" s="18" t="n">
        <x:f>ROUND(I74-(F74-G74-H74),2)</x:f>
        <x:v>0</x:v>
      </x:c>
    </x:row>
    <x:row r="75" ht="24" customHeight="1">
      <x:c r="A75" s="14" t="n">
        <x:v>45078</x:v>
      </x:c>
      <x:c r="B75" s="2" t="str">
        <x:v>B2B</x:v>
      </x:c>
      <x:c r="C75" s="2" t="str">
        <x:v>Nordeste</x:v>
      </x:c>
      <x:c r="D75" s="2" t="str">
        <x:v>M-0070</x:v>
      </x:c>
      <x:c r="E75" s="16" t="n">
        <x:v>55</x:v>
      </x:c>
      <x:c r="F75" s="17" t="n">
        <x:v>63440.68</x:v>
      </x:c>
      <x:c r="G75" s="17" t="n">
        <x:v>1762.24</x:v>
      </x:c>
      <x:c r="H75" s="17" t="n">
        <x:v>793.01</x:v>
      </x:c>
      <x:c r="I75" s="17" t="n">
        <x:v>60885.43</x:v>
      </x:c>
      <x:c r="J75" s="17" t="n">
        <x:v>33181.09</x:v>
      </x:c>
      <x:c r="K75" s="17" t="n">
        <x:v>1461.25</x:v>
      </x:c>
      <x:c r="L75" s="17" t="n">
        <x:v>1461.25</x:v>
      </x:c>
      <x:c r="M75" s="17" t="n">
        <x:v>1095.94</x:v>
      </x:c>
      <x:c r="N75" s="16" t="n">
        <x:v>15</x:v>
      </x:c>
      <x:c r="O75" s="16" t="n">
        <x:v>3</x:v>
      </x:c>
      <x:c r="P75" s="16" t="n">
        <x:v>1</x:v>
      </x:c>
      <x:c r="Q75" s="16" t="n">
        <x:v>18</x:v>
      </x:c>
      <x:c r="R75" s="16" t="n">
        <x:v>13</x:v>
      </x:c>
      <x:c r="S75" s="16" t="n">
        <x:v>2</x:v>
      </x:c>
      <x:c r="T75" s="15" t="n">
        <x:f>YEAR(A75)</x:f>
        <x:v>2023</x:v>
      </x:c>
      <x:c r="U75" s="15" t="n">
        <x:f>ROUNDUP(MONTH(A75)/3,0)</x:f>
        <x:v>2</x:v>
      </x:c>
      <x:c r="V75" s="18" t="n">
        <x:f>I75-J75</x:f>
        <x:v>27704.340000000004</x:v>
      </x:c>
      <x:c r="W75" s="19" t="n">
        <x:f>IF(I75=0,"",V75/I75)</x:f>
        <x:v>0.45502413303149875</x:v>
      </x:c>
      <x:c r="X75" s="18" t="n">
        <x:f>I75-J75-K75-L75-M75</x:f>
        <x:v>23685.900000000005</x:v>
      </x:c>
      <x:c r="Y75" s="19" t="n">
        <x:f>IF(I75=0,"",X75/I75)</x:f>
        <x:v>0.38902410642414786</x:v>
      </x:c>
      <x:c r="Z75" s="18" t="n">
        <x:f>IF(E75=0,"",F75/E75)</x:f>
        <x:v>1153.466909090909</x:v>
      </x:c>
      <x:c r="AA75" s="18" t="n">
        <x:f>IF(N75=0,"",M75/N75)</x:f>
        <x:v>73.06266666666667</x:v>
      </x:c>
      <x:c r="AB75" s="19" t="n">
        <x:f>IF(E75=0,"",O75/E75)</x:f>
        <x:v>0.05454545454545454</x:v>
      </x:c>
      <x:c r="AC75" s="19" t="n">
        <x:f>IF(E75=0,"",P75/E75)</x:f>
        <x:v>0.01818181818181818</x:v>
      </x:c>
      <x:c r="AD75" s="20" t="n">
        <x:f>IF(Q75=0,"",100*(R75-S75)/Q75)</x:f>
        <x:v>61.111111111111114</x:v>
      </x:c>
      <x:c r="AE75" s="19" t="n">
        <x:f>IF(F75=0,"",G75/F75)</x:f>
        <x:v>0.02777776026360373</x:v>
      </x:c>
      <x:c r="AF75" s="18" t="n">
        <x:f>ROUND(I75-(F75-G75-H75),2)</x:f>
        <x:v>0</x:v>
      </x:c>
    </x:row>
    <x:row r="76" ht="24" customHeight="1">
      <x:c r="A76" s="14" t="n">
        <x:v>45078</x:v>
      </x:c>
      <x:c r="B76" s="2" t="str">
        <x:v>B2B</x:v>
      </x:c>
      <x:c r="C76" s="2" t="str">
        <x:v>Sul</x:v>
      </x:c>
      <x:c r="D76" s="2" t="str">
        <x:v>M-0071</x:v>
      </x:c>
      <x:c r="E76" s="16" t="n">
        <x:v>42</x:v>
      </x:c>
      <x:c r="F76" s="17" t="n">
        <x:v>49213.08</x:v>
      </x:c>
      <x:c r="G76" s="17" t="n">
        <x:v>1367.03</x:v>
      </x:c>
      <x:c r="H76" s="17" t="n">
        <x:v>615.16</x:v>
      </x:c>
      <x:c r="I76" s="17" t="n">
        <x:v>47230.89</x:v>
      </x:c>
      <x:c r="J76" s="17" t="n">
        <x:v>25659.09</x:v>
      </x:c>
      <x:c r="K76" s="17" t="n">
        <x:v>1133.54</x:v>
      </x:c>
      <x:c r="L76" s="17" t="n">
        <x:v>1133.54</x:v>
      </x:c>
      <x:c r="M76" s="17" t="n">
        <x:v>850.16</x:v>
      </x:c>
      <x:c r="N76" s="16" t="n">
        <x:v>12</x:v>
      </x:c>
      <x:c r="O76" s="16" t="n">
        <x:v>3</x:v>
      </x:c>
      <x:c r="P76" s="16" t="n">
        <x:v>1</x:v>
      </x:c>
      <x:c r="Q76" s="16" t="n">
        <x:v>13</x:v>
      </x:c>
      <x:c r="R76" s="16" t="n">
        <x:v>9</x:v>
      </x:c>
      <x:c r="S76" s="16" t="n">
        <x:v>2</x:v>
      </x:c>
      <x:c r="T76" s="15" t="n">
        <x:f>YEAR(A76)</x:f>
        <x:v>2023</x:v>
      </x:c>
      <x:c r="U76" s="15" t="n">
        <x:f>ROUNDUP(MONTH(A76)/3,0)</x:f>
        <x:v>2</x:v>
      </x:c>
      <x:c r="V76" s="18" t="n">
        <x:f>I76-J76</x:f>
        <x:v>21571.8</x:v>
      </x:c>
      <x:c r="W76" s="19" t="n">
        <x:f>IF(I76=0,"",V76/I76)</x:f>
        <x:v>0.45673075396207863</x:v>
      </x:c>
      <x:c r="X76" s="18" t="n">
        <x:f>I76-J76-K76-L76-M76</x:f>
        <x:v>18454.559999999998</x:v>
      </x:c>
      <x:c r="Y76" s="19" t="n">
        <x:f>IF(I76=0,"",X76/I76)</x:f>
        <x:v>0.3907307272846224</x:v>
      </x:c>
      <x:c r="Z76" s="18" t="n">
        <x:f>IF(E76=0,"",F76/E76)</x:f>
        <x:v>1171.74</x:v>
      </x:c>
      <x:c r="AA76" s="18" t="n">
        <x:f>IF(N76=0,"",M76/N76)</x:f>
        <x:v>70.84666666666666</x:v>
      </x:c>
      <x:c r="AB76" s="19" t="n">
        <x:f>IF(E76=0,"",O76/E76)</x:f>
        <x:v>0.07142857142857142</x:v>
      </x:c>
      <x:c r="AC76" s="19" t="n">
        <x:f>IF(E76=0,"",P76/E76)</x:f>
        <x:v>0.023809523809523808</x:v>
      </x:c>
      <x:c r="AD76" s="20" t="n">
        <x:f>IF(Q76=0,"",100*(R76-S76)/Q76)</x:f>
        <x:v>53.84615384615385</x:v>
      </x:c>
      <x:c r="AE76" s="19" t="n">
        <x:f>IF(F76=0,"",G76/F76)</x:f>
        <x:v>0.027777777777777776</x:v>
      </x:c>
      <x:c r="AF76" s="18" t="n">
        <x:f>ROUND(I76-(F76-G76-H76),2)</x:f>
        <x:v>0</x:v>
      </x:c>
    </x:row>
    <x:row r="77" ht="24" customHeight="1">
      <x:c r="A77" s="14" t="n">
        <x:v>45078</x:v>
      </x:c>
      <x:c r="B77" s="2" t="str">
        <x:v>B2B</x:v>
      </x:c>
      <x:c r="C77" s="2" t="str">
        <x:v>Centro-Oeste</x:v>
      </x:c>
      <x:c r="D77" s="2" t="str">
        <x:v>M-0072</x:v>
      </x:c>
      <x:c r="E77" s="16" t="n">
        <x:v>32</x:v>
      </x:c>
      <x:c r="F77" s="17" t="n">
        <x:v>36812.1</x:v>
      </x:c>
      <x:c r="G77" s="17" t="n">
        <x:v>1022.56</x:v>
      </x:c>
      <x:c r="H77" s="17" t="n">
        <x:v>460.15</x:v>
      </x:c>
      <x:c r="I77" s="17" t="n">
        <x:v>35329.39</x:v>
      </x:c>
      <x:c r="J77" s="17" t="n">
        <x:v>17754.51</x:v>
      </x:c>
      <x:c r="K77" s="17" t="n">
        <x:v>847.91</x:v>
      </x:c>
      <x:c r="L77" s="17" t="n">
        <x:v>847.91</x:v>
      </x:c>
      <x:c r="M77" s="17" t="n">
        <x:v>635.93</x:v>
      </x:c>
      <x:c r="N77" s="16" t="n">
        <x:v>9</x:v>
      </x:c>
      <x:c r="O77" s="16" t="n">
        <x:v>2</x:v>
      </x:c>
      <x:c r="P77" s="16" t="n">
        <x:v>1</x:v>
      </x:c>
      <x:c r="Q77" s="16" t="n">
        <x:v>10</x:v>
      </x:c>
      <x:c r="R77" s="16" t="n">
        <x:v>7</x:v>
      </x:c>
      <x:c r="S77" s="16" t="n">
        <x:v>1</x:v>
      </x:c>
      <x:c r="T77" s="15" t="n">
        <x:f>YEAR(A77)</x:f>
        <x:v>2023</x:v>
      </x:c>
      <x:c r="U77" s="15" t="n">
        <x:f>ROUNDUP(MONTH(A77)/3,0)</x:f>
        <x:v>2</x:v>
      </x:c>
      <x:c r="V77" s="18" t="n">
        <x:f>I77-J77</x:f>
        <x:v>17574.88</x:v>
      </x:c>
      <x:c r="W77" s="19" t="n">
        <x:f>IF(I77=0,"",V77/I77)</x:f>
        <x:v>0.49745778231664917</x:v>
      </x:c>
      <x:c r="X77" s="18" t="n">
        <x:f>I77-J77-K77-L77-M77</x:f>
        <x:v>15243.130000000001</x:v>
      </x:c>
      <x:c r="Y77" s="19" t="n">
        <x:f>IF(I77=0,"",X77/I77)</x:f>
        <x:v>0.4314574919068798</x:v>
      </x:c>
      <x:c r="Z77" s="18" t="n">
        <x:f>IF(E77=0,"",F77/E77)</x:f>
        <x:v>1150.378125</x:v>
      </x:c>
      <x:c r="AA77" s="18" t="n">
        <x:f>IF(N77=0,"",M77/N77)</x:f>
        <x:v>70.65888888888888</x:v>
      </x:c>
      <x:c r="AB77" s="19" t="n">
        <x:f>IF(E77=0,"",O77/E77)</x:f>
        <x:v>0.0625</x:v>
      </x:c>
      <x:c r="AC77" s="19" t="n">
        <x:f>IF(E77=0,"",P77/E77)</x:f>
        <x:v>0.03125</x:v>
      </x:c>
      <x:c r="AD77" s="20" t="n">
        <x:f>IF(Q77=0,"",100*(R77-S77)/Q77)</x:f>
        <x:v>60</x:v>
      </x:c>
      <x:c r="AE77" s="19" t="n">
        <x:f>IF(F77=0,"",G77/F77)</x:f>
        <x:v>0.027777823052746245</x:v>
      </x:c>
      <x:c r="AF77" s="18" t="n">
        <x:f>ROUND(I77-(F77-G77-H77),2)</x:f>
        <x:v>0</x:v>
      </x:c>
    </x:row>
    <x:row r="78" ht="24" customHeight="1">
      <x:c r="A78" s="14" t="n">
        <x:v>45108</x:v>
      </x:c>
      <x:c r="B78" s="2" t="str">
        <x:v>E-commerce</x:v>
      </x:c>
      <x:c r="C78" s="2" t="str">
        <x:v>Sudeste</x:v>
      </x:c>
      <x:c r="D78" s="2" t="str">
        <x:v>M-0073</x:v>
      </x:c>
      <x:c r="E78" s="16" t="n">
        <x:v>135</x:v>
      </x:c>
      <x:c r="F78" s="17" t="n">
        <x:v>156415.68</x:v>
      </x:c>
      <x:c r="G78" s="17" t="n">
        <x:v>4431.78</x:v>
      </x:c>
      <x:c r="H78" s="17" t="n">
        <x:v>2033.4</x:v>
      </x:c>
      <x:c r="I78" s="17" t="n">
        <x:v>149950.5</x:v>
      </x:c>
      <x:c r="J78" s="17" t="n">
        <x:v>79072.66</x:v>
      </x:c>
      <x:c r="K78" s="17" t="n">
        <x:v>6897.72</x:v>
      </x:c>
      <x:c r="L78" s="17" t="n">
        <x:v>3598.81</x:v>
      </x:c>
      <x:c r="M78" s="17" t="n">
        <x:v>11246.29</x:v>
      </x:c>
      <x:c r="N78" s="16" t="n">
        <x:v>70</x:v>
      </x:c>
      <x:c r="O78" s="16" t="n">
        <x:v>9</x:v>
      </x:c>
      <x:c r="P78" s="16" t="n">
        <x:v>3</x:v>
      </x:c>
      <x:c r="Q78" s="16" t="n">
        <x:v>43</x:v>
      </x:c>
      <x:c r="R78" s="16" t="n">
        <x:v>30</x:v>
      </x:c>
      <x:c r="S78" s="16" t="n">
        <x:v>5</x:v>
      </x:c>
      <x:c r="T78" s="15" t="n">
        <x:f>YEAR(A78)</x:f>
        <x:v>2023</x:v>
      </x:c>
      <x:c r="U78" s="15" t="n">
        <x:f>ROUNDUP(MONTH(A78)/3,0)</x:f>
        <x:v>3</x:v>
      </x:c>
      <x:c r="V78" s="18" t="n">
        <x:f>I78-J78</x:f>
        <x:v>70877.84</x:v>
      </x:c>
      <x:c r="W78" s="19" t="n">
        <x:f>IF(I78=0,"",V78/I78)</x:f>
        <x:v>0.47267491605563167</x:v>
      </x:c>
      <x:c r="X78" s="18" t="n">
        <x:f>I78-J78-K78-L78-M78</x:f>
        <x:v>49135.02</x:v>
      </x:c>
      <x:c r="Y78" s="19" t="n">
        <x:f>IF(I78=0,"",X78/I78)</x:f>
        <x:v>0.32767493272780013</x:v>
      </x:c>
      <x:c r="Z78" s="18" t="n">
        <x:f>IF(E78=0,"",F78/E78)</x:f>
        <x:v>1158.6346666666666</x:v>
      </x:c>
      <x:c r="AA78" s="18" t="n">
        <x:f>IF(N78=0,"",M78/N78)</x:f>
        <x:v>160.66128571428573</x:v>
      </x:c>
      <x:c r="AB78" s="19" t="n">
        <x:f>IF(E78=0,"",O78/E78)</x:f>
        <x:v>0.06666666666666667</x:v>
      </x:c>
      <x:c r="AC78" s="19" t="n">
        <x:f>IF(E78=0,"",P78/E78)</x:f>
        <x:v>0.022222222222222223</x:v>
      </x:c>
      <x:c r="AD78" s="20" t="n">
        <x:f>IF(Q78=0,"",100*(R78-S78)/Q78)</x:f>
        <x:v>58.13953488372093</x:v>
      </x:c>
      <x:c r="AE78" s="19" t="n">
        <x:f>IF(F78=0,"",G78/F78)</x:f>
        <x:v>0.028333348677063577</x:v>
      </x:c>
      <x:c r="AF78" s="18" t="n">
        <x:f>ROUND(I78-(F78-G78-H78),2)</x:f>
        <x:v>0</x:v>
      </x:c>
    </x:row>
    <x:row r="79" ht="24" customHeight="1">
      <x:c r="A79" s="14" t="n">
        <x:v>45108</x:v>
      </x:c>
      <x:c r="B79" s="2" t="str">
        <x:v>E-commerce</x:v>
      </x:c>
      <x:c r="C79" s="2" t="str">
        <x:v>Nordeste</x:v>
      </x:c>
      <x:c r="D79" s="2" t="str">
        <x:v>M-0074</x:v>
      </x:c>
      <x:c r="E79" s="16" t="n">
        <x:v>103</x:v>
      </x:c>
      <x:c r="F79" s="17" t="n">
        <x:v>119279.74</x:v>
      </x:c>
      <x:c r="G79" s="17" t="n">
        <x:v>3379.59</x:v>
      </x:c>
      <x:c r="H79" s="17" t="n">
        <x:v>1550.64</x:v>
      </x:c>
      <x:c r="I79" s="17" t="n">
        <x:v>114349.51</x:v>
      </x:c>
      <x:c r="J79" s="17" t="n">
        <x:v>62129.62</x:v>
      </x:c>
      <x:c r="K79" s="17" t="n">
        <x:v>5260.08</x:v>
      </x:c>
      <x:c r="L79" s="17" t="n">
        <x:v>2744.39</x:v>
      </x:c>
      <x:c r="M79" s="17" t="n">
        <x:v>8576.21</x:v>
      </x:c>
      <x:c r="N79" s="16" t="n">
        <x:v>54</x:v>
      </x:c>
      <x:c r="O79" s="16" t="n">
        <x:v>7</x:v>
      </x:c>
      <x:c r="P79" s="16" t="n">
        <x:v>2</x:v>
      </x:c>
      <x:c r="Q79" s="16" t="n">
        <x:v>33</x:v>
      </x:c>
      <x:c r="R79" s="16" t="n">
        <x:v>23</x:v>
      </x:c>
      <x:c r="S79" s="16" t="n">
        <x:v>4</x:v>
      </x:c>
      <x:c r="T79" s="15" t="n">
        <x:f>YEAR(A79)</x:f>
        <x:v>2023</x:v>
      </x:c>
      <x:c r="U79" s="15" t="n">
        <x:f>ROUNDUP(MONTH(A79)/3,0)</x:f>
        <x:v>3</x:v>
      </x:c>
      <x:c r="V79" s="18" t="n">
        <x:f>I79-J79</x:f>
        <x:v>52219.88999999999</x:v>
      </x:c>
      <x:c r="W79" s="19" t="n">
        <x:f>IF(I79=0,"",V79/I79)</x:f>
        <x:v>0.4566691190893603</x:v>
      </x:c>
      <x:c r="X79" s="18" t="n">
        <x:f>I79-J79-K79-L79-M79</x:f>
        <x:v>35639.20999999999</x:v>
      </x:c>
      <x:c r="Y79" s="19" t="n">
        <x:f>IF(I79=0,"",X79/I79)</x:f>
        <x:v>0.311669109906986</x:v>
      </x:c>
      <x:c r="Z79" s="18" t="n">
        <x:f>IF(E79=0,"",F79/E79)</x:f>
        <x:v>1158.05572815534</x:v>
      </x:c>
      <x:c r="AA79" s="18" t="n">
        <x:f>IF(N79=0,"",M79/N79)</x:f>
        <x:v>158.81870370370368</x:v>
      </x:c>
      <x:c r="AB79" s="19" t="n">
        <x:f>IF(E79=0,"",O79/E79)</x:f>
        <x:v>0.06796116504854369</x:v>
      </x:c>
      <x:c r="AC79" s="19" t="n">
        <x:f>IF(E79=0,"",P79/E79)</x:f>
        <x:v>0.019417475728155338</x:v>
      </x:c>
      <x:c r="AD79" s="20" t="n">
        <x:f>IF(Q79=0,"",100*(R79-S79)/Q79)</x:f>
        <x:v>57.57575757575758</x:v>
      </x:c>
      <x:c r="AE79" s="19" t="n">
        <x:f>IF(F79=0,"",G79/F79)</x:f>
        <x:v>0.02833331125637933</x:v>
      </x:c>
      <x:c r="AF79" s="18" t="n">
        <x:f>ROUND(I79-(F79-G79-H79),2)</x:f>
        <x:v>0</x:v>
      </x:c>
    </x:row>
    <x:row r="80" ht="24" customHeight="1">
      <x:c r="A80" s="14" t="n">
        <x:v>45108</x:v>
      </x:c>
      <x:c r="B80" s="2" t="str">
        <x:v>E-commerce</x:v>
      </x:c>
      <x:c r="C80" s="2" t="str">
        <x:v>Sul</x:v>
      </x:c>
      <x:c r="D80" s="2" t="str">
        <x:v>M-0075</x:v>
      </x:c>
      <x:c r="E80" s="16" t="n">
        <x:v>72</x:v>
      </x:c>
      <x:c r="F80" s="17" t="n">
        <x:v>83098.14</x:v>
      </x:c>
      <x:c r="G80" s="17" t="n">
        <x:v>2354.45</x:v>
      </x:c>
      <x:c r="H80" s="17" t="n">
        <x:v>1080.28</x:v>
      </x:c>
      <x:c r="I80" s="17" t="n">
        <x:v>79663.41</x:v>
      </x:c>
      <x:c r="J80" s="17" t="n">
        <x:v>42314.3</x:v>
      </x:c>
      <x:c r="K80" s="17" t="n">
        <x:v>3664.52</x:v>
      </x:c>
      <x:c r="L80" s="17" t="n">
        <x:v>1911.92</x:v>
      </x:c>
      <x:c r="M80" s="17" t="n">
        <x:v>5974.76</x:v>
      </x:c>
      <x:c r="N80" s="16" t="n">
        <x:v>37</x:v>
      </x:c>
      <x:c r="O80" s="16" t="n">
        <x:v>5</x:v>
      </x:c>
      <x:c r="P80" s="16" t="n">
        <x:v>2</x:v>
      </x:c>
      <x:c r="Q80" s="16" t="n">
        <x:v>23</x:v>
      </x:c>
      <x:c r="R80" s="16" t="n">
        <x:v>16</x:v>
      </x:c>
      <x:c r="S80" s="16" t="n">
        <x:v>3</x:v>
      </x:c>
      <x:c r="T80" s="15" t="n">
        <x:f>YEAR(A80)</x:f>
        <x:v>2023</x:v>
      </x:c>
      <x:c r="U80" s="15" t="n">
        <x:f>ROUNDUP(MONTH(A80)/3,0)</x:f>
        <x:v>3</x:v>
      </x:c>
      <x:c r="V80" s="18" t="n">
        <x:f>I80-J80</x:f>
        <x:v>37349.11</x:v>
      </x:c>
      <x:c r="W80" s="19" t="n">
        <x:f>IF(I80=0,"",V80/I80)</x:f>
        <x:v>0.4688364457408991</x:v>
      </x:c>
      <x:c r="X80" s="18" t="n">
        <x:f>I80-J80-K80-L80-M80</x:f>
        <x:v>25797.910000000003</x:v>
      </x:c>
      <x:c r="Y80" s="19" t="n">
        <x:f>IF(I80=0,"",X80/I80)</x:f>
        <x:v>0.32383637607277926</x:v>
      </x:c>
      <x:c r="Z80" s="18" t="n">
        <x:f>IF(E80=0,"",F80/E80)</x:f>
        <x:v>1154.1408333333334</x:v>
      </x:c>
      <x:c r="AA80" s="18" t="n">
        <x:f>IF(N80=0,"",M80/N80)</x:f>
        <x:v>161.48000000000002</x:v>
      </x:c>
      <x:c r="AB80" s="19" t="n">
        <x:f>IF(E80=0,"",O80/E80)</x:f>
        <x:v>0.06944444444444445</x:v>
      </x:c>
      <x:c r="AC80" s="19" t="n">
        <x:f>IF(E80=0,"",P80/E80)</x:f>
        <x:v>0.027777777777777776</x:v>
      </x:c>
      <x:c r="AD80" s="20" t="n">
        <x:f>IF(Q80=0,"",100*(R80-S80)/Q80)</x:f>
        <x:v>56.52173913043478</x:v>
      </x:c>
      <x:c r="AE80" s="19" t="n">
        <x:f>IF(F80=0,"",G80/F80)</x:f>
        <x:v>0.02833336582503531</x:v>
      </x:c>
      <x:c r="AF80" s="18" t="n">
        <x:f>ROUND(I80-(F80-G80-H80),2)</x:f>
        <x:v>0</x:v>
      </x:c>
    </x:row>
    <x:row r="81" ht="24" customHeight="1">
      <x:c r="A81" s="14" t="n">
        <x:v>45108</x:v>
      </x:c>
      <x:c r="B81" s="2" t="str">
        <x:v>E-commerce</x:v>
      </x:c>
      <x:c r="C81" s="2" t="str">
        <x:v>Centro-Oeste</x:v>
      </x:c>
      <x:c r="D81" s="2" t="str">
        <x:v>M-0076</x:v>
      </x:c>
      <x:c r="E81" s="16" t="n">
        <x:v>58</x:v>
      </x:c>
      <x:c r="F81" s="17" t="n">
        <x:v>67260.71</x:v>
      </x:c>
      <x:c r="G81" s="17" t="n">
        <x:v>1905.72</x:v>
      </x:c>
      <x:c r="H81" s="17" t="n">
        <x:v>874.39</x:v>
      </x:c>
      <x:c r="I81" s="17" t="n">
        <x:v>64480.6</x:v>
      </x:c>
      <x:c r="J81" s="17" t="n">
        <x:v>34860.87</x:v>
      </x:c>
      <x:c r="K81" s="17" t="n">
        <x:v>2966.11</x:v>
      </x:c>
      <x:c r="L81" s="17" t="n">
        <x:v>1547.53</x:v>
      </x:c>
      <x:c r="M81" s="17" t="n">
        <x:v>4836.04</x:v>
      </x:c>
      <x:c r="N81" s="16" t="n">
        <x:v>30</x:v>
      </x:c>
      <x:c r="O81" s="16" t="n">
        <x:v>4</x:v>
      </x:c>
      <x:c r="P81" s="16" t="n">
        <x:v>1</x:v>
      </x:c>
      <x:c r="Q81" s="16" t="n">
        <x:v>19</x:v>
      </x:c>
      <x:c r="R81" s="16" t="n">
        <x:v>13</x:v>
      </x:c>
      <x:c r="S81" s="16" t="n">
        <x:v>2</x:v>
      </x:c>
      <x:c r="T81" s="15" t="n">
        <x:f>YEAR(A81)</x:f>
        <x:v>2023</x:v>
      </x:c>
      <x:c r="U81" s="15" t="n">
        <x:f>ROUNDUP(MONTH(A81)/3,0)</x:f>
        <x:v>3</x:v>
      </x:c>
      <x:c r="V81" s="18" t="n">
        <x:f>I81-J81</x:f>
        <x:v>29619.729999999996</x:v>
      </x:c>
      <x:c r="W81" s="19" t="n">
        <x:f>IF(I81=0,"",V81/I81)</x:f>
        <x:v>0.4593587838822839</x:v>
      </x:c>
      <x:c r="X81" s="18" t="n">
        <x:f>I81-J81-K81-L81-M81</x:f>
        <x:v>20270.049999999996</x:v>
      </x:c>
      <x:c r="Y81" s="19" t="n">
        <x:f>IF(I81=0,"",X81/I81)</x:f>
        <x:v>0.31435889244206777</x:v>
      </x:c>
      <x:c r="Z81" s="18" t="n">
        <x:f>IF(E81=0,"",F81/E81)</x:f>
        <x:v>1159.6674137931036</x:v>
      </x:c>
      <x:c r="AA81" s="18" t="n">
        <x:f>IF(N81=0,"",M81/N81)</x:f>
        <x:v>161.20133333333334</x:v>
      </x:c>
      <x:c r="AB81" s="19" t="n">
        <x:f>IF(E81=0,"",O81/E81)</x:f>
        <x:v>0.06896551724137931</x:v>
      </x:c>
      <x:c r="AC81" s="19" t="n">
        <x:f>IF(E81=0,"",P81/E81)</x:f>
        <x:v>0.017241379310344827</x:v>
      </x:c>
      <x:c r="AD81" s="20" t="n">
        <x:f>IF(Q81=0,"",100*(R81-S81)/Q81)</x:f>
        <x:v>57.89473684210526</x:v>
      </x:c>
      <x:c r="AE81" s="19" t="n">
        <x:f>IF(F81=0,"",G81/F81)</x:f>
        <x:v>0.028333331598789247</x:v>
      </x:c>
      <x:c r="AF81" s="18" t="n">
        <x:f>ROUND(I81-(F81-G81-H81),2)</x:f>
        <x:v>0</x:v>
      </x:c>
    </x:row>
    <x:row r="82" ht="24" customHeight="1">
      <x:c r="A82" s="14" t="n">
        <x:v>45108</x:v>
      </x:c>
      <x:c r="B82" s="2" t="str">
        <x:v>Lojas</x:v>
      </x:c>
      <x:c r="C82" s="2" t="str">
        <x:v>Sudeste</x:v>
      </x:c>
      <x:c r="D82" s="2" t="str">
        <x:v>M-0077</x:v>
      </x:c>
      <x:c r="E82" s="16" t="n">
        <x:v>123</x:v>
      </x:c>
      <x:c r="F82" s="17" t="n">
        <x:v>142856.14</x:v>
      </x:c>
      <x:c r="G82" s="17" t="n">
        <x:v>4047.59</x:v>
      </x:c>
      <x:c r="H82" s="17" t="n">
        <x:v>1857.13</x:v>
      </x:c>
      <x:c r="I82" s="17" t="n">
        <x:v>136951.42</x:v>
      </x:c>
      <x:c r="J82" s="17" t="n">
        <x:v>69694.82</x:v>
      </x:c>
      <x:c r="K82" s="17" t="n">
        <x:v>3423.79</x:v>
      </x:c>
      <x:c r="L82" s="17" t="n">
        <x:v>3286.83</x:v>
      </x:c>
      <x:c r="M82" s="17" t="n">
        <x:v>2465.13</x:v>
      </x:c>
      <x:c r="N82" s="16" t="n">
        <x:v>34</x:v>
      </x:c>
      <x:c r="O82" s="16" t="n">
        <x:v>8</x:v>
      </x:c>
      <x:c r="P82" s="16" t="n">
        <x:v>3</x:v>
      </x:c>
      <x:c r="Q82" s="16" t="n">
        <x:v>39</x:v>
      </x:c>
      <x:c r="R82" s="16" t="n">
        <x:v>27</x:v>
      </x:c>
      <x:c r="S82" s="16" t="n">
        <x:v>5</x:v>
      </x:c>
      <x:c r="T82" s="15" t="n">
        <x:f>YEAR(A82)</x:f>
        <x:v>2023</x:v>
      </x:c>
      <x:c r="U82" s="15" t="n">
        <x:f>ROUNDUP(MONTH(A82)/3,0)</x:f>
        <x:v>3</x:v>
      </x:c>
      <x:c r="V82" s="18" t="n">
        <x:f>I82-J82</x:f>
        <x:v>67256.6</x:v>
      </x:c>
      <x:c r="W82" s="19" t="n">
        <x:f>IF(I82=0,"",V82/I82)</x:f>
        <x:v>0.4910982303067759</x:v>
      </x:c>
      <x:c r="X82" s="18" t="n">
        <x:f>I82-J82-K82-L82-M82</x:f>
        <x:v>58080.850000000006</x:v>
      </x:c>
      <x:c r="Y82" s="19" t="n">
        <x:f>IF(I82=0,"",X82/I82)</x:f>
        <x:v>0.42409819481973976</x:v>
      </x:c>
      <x:c r="Z82" s="18" t="n">
        <x:f>IF(E82=0,"",F82/E82)</x:f>
        <x:v>1161.4320325203253</x:v>
      </x:c>
      <x:c r="AA82" s="18" t="n">
        <x:f>IF(N82=0,"",M82/N82)</x:f>
        <x:v>72.50382352941176</x:v>
      </x:c>
      <x:c r="AB82" s="19" t="n">
        <x:f>IF(E82=0,"",O82/E82)</x:f>
        <x:v>0.06504065040650407</x:v>
      </x:c>
      <x:c r="AC82" s="19" t="n">
        <x:f>IF(E82=0,"",P82/E82)</x:f>
        <x:v>0.024390243902439025</x:v>
      </x:c>
      <x:c r="AD82" s="20" t="n">
        <x:f>IF(Q82=0,"",100*(R82-S82)/Q82)</x:f>
        <x:v>56.41025641025641</x:v>
      </x:c>
      <x:c r="AE82" s="19" t="n">
        <x:f>IF(F82=0,"",G82/F82)</x:f>
        <x:v>0.028333328899968875</x:v>
      </x:c>
      <x:c r="AF82" s="18" t="n">
        <x:f>ROUND(I82-(F82-G82-H82),2)</x:f>
        <x:v>0</x:v>
      </x:c>
    </x:row>
    <x:row r="83" ht="24" customHeight="1">
      <x:c r="A83" s="14" t="n">
        <x:v>45108</x:v>
      </x:c>
      <x:c r="B83" s="2" t="str">
        <x:v>Lojas</x:v>
      </x:c>
      <x:c r="C83" s="2" t="str">
        <x:v>Nordeste</x:v>
      </x:c>
      <x:c r="D83" s="2" t="str">
        <x:v>M-0078</x:v>
      </x:c>
      <x:c r="E83" s="16" t="n">
        <x:v>89</x:v>
      </x:c>
      <x:c r="F83" s="17" t="n">
        <x:v>103200.74</x:v>
      </x:c>
      <x:c r="G83" s="17" t="n">
        <x:v>2924.02</x:v>
      </x:c>
      <x:c r="H83" s="17" t="n">
        <x:v>1341.61</x:v>
      </x:c>
      <x:c r="I83" s="17" t="n">
        <x:v>98935.11</x:v>
      </x:c>
      <x:c r="J83" s="17" t="n">
        <x:v>51064.57</x:v>
      </x:c>
      <x:c r="K83" s="17" t="n">
        <x:v>2473.38</x:v>
      </x:c>
      <x:c r="L83" s="17" t="n">
        <x:v>2374.44</x:v>
      </x:c>
      <x:c r="M83" s="17" t="n">
        <x:v>1780.83</x:v>
      </x:c>
      <x:c r="N83" s="16" t="n">
        <x:v>25</x:v>
      </x:c>
      <x:c r="O83" s="16" t="n">
        <x:v>6</x:v>
      </x:c>
      <x:c r="P83" s="16" t="n">
        <x:v>2</x:v>
      </x:c>
      <x:c r="Q83" s="16" t="n">
        <x:v>28</x:v>
      </x:c>
      <x:c r="R83" s="16" t="n">
        <x:v>20</x:v>
      </x:c>
      <x:c r="S83" s="16" t="n">
        <x:v>3</x:v>
      </x:c>
      <x:c r="T83" s="15" t="n">
        <x:f>YEAR(A83)</x:f>
        <x:v>2023</x:v>
      </x:c>
      <x:c r="U83" s="15" t="n">
        <x:f>ROUNDUP(MONTH(A83)/3,0)</x:f>
        <x:v>3</x:v>
      </x:c>
      <x:c r="V83" s="18" t="n">
        <x:f>I83-J83</x:f>
        <x:v>47870.54</x:v>
      </x:c>
      <x:c r="W83" s="19" t="n">
        <x:f>IF(I83=0,"",V83/I83)</x:f>
        <x:v>0.48385795497675194</x:v>
      </x:c>
      <x:c r="X83" s="18" t="n">
        <x:f>I83-J83-K83-L83-M83</x:f>
        <x:v>41241.89</x:v>
      </x:c>
      <x:c r="Y83" s="19" t="n">
        <x:f>IF(I83=0,"",X83/I83)</x:f>
        <x:v>0.41685797893184734</x:v>
      </x:c>
      <x:c r="Z83" s="18" t="n">
        <x:f>IF(E83=0,"",F83/E83)</x:f>
        <x:v>1159.5588764044944</x:v>
      </x:c>
      <x:c r="AA83" s="18" t="n">
        <x:f>IF(N83=0,"",M83/N83)</x:f>
        <x:v>71.2332</x:v>
      </x:c>
      <x:c r="AB83" s="19" t="n">
        <x:f>IF(E83=0,"",O83/E83)</x:f>
        <x:v>0.06741573033707865</x:v>
      </x:c>
      <x:c r="AC83" s="19" t="n">
        <x:f>IF(E83=0,"",P83/E83)</x:f>
        <x:v>0.02247191011235955</x:v>
      </x:c>
      <x:c r="AD83" s="20" t="n">
        <x:f>IF(Q83=0,"",100*(R83-S83)/Q83)</x:f>
        <x:v>60.714285714285715</x:v>
      </x:c>
      <x:c r="AE83" s="19" t="n">
        <x:f>IF(F83=0,"",G83/F83)</x:f>
        <x:v>0.02833332396647543</x:v>
      </x:c>
      <x:c r="AF83" s="18" t="n">
        <x:f>ROUND(I83-(F83-G83-H83),2)</x:f>
        <x:v>0</x:v>
      </x:c>
    </x:row>
    <x:row r="84" ht="24" customHeight="1">
      <x:c r="A84" s="14" t="n">
        <x:v>45108</x:v>
      </x:c>
      <x:c r="B84" s="2" t="str">
        <x:v>Lojas</x:v>
      </x:c>
      <x:c r="C84" s="2" t="str">
        <x:v>Sul</x:v>
      </x:c>
      <x:c r="D84" s="2" t="str">
        <x:v>M-0079</x:v>
      </x:c>
      <x:c r="E84" s="16" t="n">
        <x:v>69</x:v>
      </x:c>
      <x:c r="F84" s="17" t="n">
        <x:v>79641.15</x:v>
      </x:c>
      <x:c r="G84" s="17" t="n">
        <x:v>2256.5</x:v>
      </x:c>
      <x:c r="H84" s="17" t="n">
        <x:v>1035.33</x:v>
      </x:c>
      <x:c r="I84" s="17" t="n">
        <x:v>76349.32</x:v>
      </x:c>
      <x:c r="J84" s="17" t="n">
        <x:v>39197.57</x:v>
      </x:c>
      <x:c r="K84" s="17" t="n">
        <x:v>1908.73</x:v>
      </x:c>
      <x:c r="L84" s="17" t="n">
        <x:v>1832.38</x:v>
      </x:c>
      <x:c r="M84" s="17" t="n">
        <x:v>1374.29</x:v>
      </x:c>
      <x:c r="N84" s="16" t="n">
        <x:v>19</x:v>
      </x:c>
      <x:c r="O84" s="16" t="n">
        <x:v>4</x:v>
      </x:c>
      <x:c r="P84" s="16" t="n">
        <x:v>1</x:v>
      </x:c>
      <x:c r="Q84" s="16" t="n">
        <x:v>22</x:v>
      </x:c>
      <x:c r="R84" s="16" t="n">
        <x:v>15</x:v>
      </x:c>
      <x:c r="S84" s="16" t="n">
        <x:v>3</x:v>
      </x:c>
      <x:c r="T84" s="15" t="n">
        <x:f>YEAR(A84)</x:f>
        <x:v>2023</x:v>
      </x:c>
      <x:c r="U84" s="15" t="n">
        <x:f>ROUNDUP(MONTH(A84)/3,0)</x:f>
        <x:v>3</x:v>
      </x:c>
      <x:c r="V84" s="18" t="n">
        <x:f>I84-J84</x:f>
        <x:v>37151.75000000001</x:v>
      </x:c>
      <x:c r="W84" s="19" t="n">
        <x:f>IF(I84=0,"",V84/I84)</x:f>
        <x:v>0.4866022382386641</x:v>
      </x:c>
      <x:c r="X84" s="18" t="n">
        <x:f>I84-J84-K84-L84-M84</x:f>
        <x:v>32036.350000000006</x:v>
      </x:c>
      <x:c r="Y84" s="19" t="n">
        <x:f>IF(I84=0,"",X84/I84)</x:f>
        <x:v>0.4196022963924237</x:v>
      </x:c>
      <x:c r="Z84" s="18" t="n">
        <x:f>IF(E84=0,"",F84/E84)</x:f>
        <x:v>1154.2195652173912</x:v>
      </x:c>
      <x:c r="AA84" s="18" t="n">
        <x:f>IF(N84=0,"",M84/N84)</x:f>
        <x:v>72.33105263157894</x:v>
      </x:c>
      <x:c r="AB84" s="19" t="n">
        <x:f>IF(E84=0,"",O84/E84)</x:f>
        <x:v>0.057971014492753624</x:v>
      </x:c>
      <x:c r="AC84" s="19" t="n">
        <x:f>IF(E84=0,"",P84/E84)</x:f>
        <x:v>0.014492753623188406</x:v>
      </x:c>
      <x:c r="AD84" s="20" t="n">
        <x:f>IF(Q84=0,"",100*(R84-S84)/Q84)</x:f>
        <x:v>54.54545454545455</x:v>
      </x:c>
      <x:c r="AE84" s="19" t="n">
        <x:f>IF(F84=0,"",G84/F84)</x:f>
        <x:v>0.028333342750575554</x:v>
      </x:c>
      <x:c r="AF84" s="18" t="n">
        <x:f>ROUND(I84-(F84-G84-H84),2)</x:f>
        <x:v>0</x:v>
      </x:c>
    </x:row>
    <x:row r="85" ht="24" customHeight="1">
      <x:c r="A85" s="14" t="n">
        <x:v>45108</x:v>
      </x:c>
      <x:c r="B85" s="2" t="str">
        <x:v>Lojas</x:v>
      </x:c>
      <x:c r="C85" s="2" t="str">
        <x:v>Centro-Oeste</x:v>
      </x:c>
      <x:c r="D85" s="2" t="str">
        <x:v>M-0080</x:v>
      </x:c>
      <x:c r="E85" s="16" t="n">
        <x:v>56</x:v>
      </x:c>
      <x:c r="F85" s="17" t="n">
        <x:v>64935.34</x:v>
      </x:c>
      <x:c r="G85" s="17" t="n">
        <x:v>1839.83</x:v>
      </x:c>
      <x:c r="H85" s="17" t="n">
        <x:v>844.16</x:v>
      </x:c>
      <x:c r="I85" s="17" t="n">
        <x:v>62251.35</x:v>
      </x:c>
      <x:c r="J85" s="17" t="n">
        <x:v>32987.87</x:v>
      </x:c>
      <x:c r="K85" s="17" t="n">
        <x:v>1556.28</x:v>
      </x:c>
      <x:c r="L85" s="17" t="n">
        <x:v>1494.03</x:v>
      </x:c>
      <x:c r="M85" s="17" t="n">
        <x:v>1120.52</x:v>
      </x:c>
      <x:c r="N85" s="16" t="n">
        <x:v>16</x:v>
      </x:c>
      <x:c r="O85" s="16" t="n">
        <x:v>4</x:v>
      </x:c>
      <x:c r="P85" s="16" t="n">
        <x:v>1</x:v>
      </x:c>
      <x:c r="Q85" s="16" t="n">
        <x:v>18</x:v>
      </x:c>
      <x:c r="R85" s="16" t="n">
        <x:v>13</x:v>
      </x:c>
      <x:c r="S85" s="16" t="n">
        <x:v>2</x:v>
      </x:c>
      <x:c r="T85" s="15" t="n">
        <x:f>YEAR(A85)</x:f>
        <x:v>2023</x:v>
      </x:c>
      <x:c r="U85" s="15" t="n">
        <x:f>ROUNDUP(MONTH(A85)/3,0)</x:f>
        <x:v>3</x:v>
      </x:c>
      <x:c r="V85" s="18" t="n">
        <x:f>I85-J85</x:f>
        <x:v>29263.479999999996</x:v>
      </x:c>
      <x:c r="W85" s="19" t="n">
        <x:f>IF(I85=0,"",V85/I85)</x:f>
        <x:v>0.4700858696237109</x:v>
      </x:c>
      <x:c r="X85" s="18" t="n">
        <x:f>I85-J85-K85-L85-M85</x:f>
        <x:v>25092.649999999998</x:v>
      </x:c>
      <x:c r="Y85" s="19" t="n">
        <x:f>IF(I85=0,"",X85/I85)</x:f>
        <x:v>0.40308603749155636</x:v>
      </x:c>
      <x:c r="Z85" s="18" t="n">
        <x:f>IF(E85=0,"",F85/E85)</x:f>
        <x:v>1159.5596428571428</x:v>
      </x:c>
      <x:c r="AA85" s="18" t="n">
        <x:f>IF(N85=0,"",M85/N85)</x:f>
        <x:v>70.0325</x:v>
      </x:c>
      <x:c r="AB85" s="19" t="n">
        <x:f>IF(E85=0,"",O85/E85)</x:f>
        <x:v>0.07142857142857142</x:v>
      </x:c>
      <x:c r="AC85" s="19" t="n">
        <x:f>IF(E85=0,"",P85/E85)</x:f>
        <x:v>0.017857142857142856</x:v>
      </x:c>
      <x:c r="AD85" s="20" t="n">
        <x:f>IF(Q85=0,"",100*(R85-S85)/Q85)</x:f>
        <x:v>61.111111111111114</x:v>
      </x:c>
      <x:c r="AE85" s="19" t="n">
        <x:f>IF(F85=0,"",G85/F85)</x:f>
        <x:v>0.02833326198030225</x:v>
      </x:c>
      <x:c r="AF85" s="18" t="n">
        <x:f>ROUND(I85-(F85-G85-H85),2)</x:f>
        <x:v>0</x:v>
      </x:c>
    </x:row>
    <x:row r="86" ht="24" customHeight="1">
      <x:c r="A86" s="14" t="n">
        <x:v>45108</x:v>
      </x:c>
      <x:c r="B86" s="2" t="str">
        <x:v>B2B</x:v>
      </x:c>
      <x:c r="C86" s="2" t="str">
        <x:v>Sudeste</x:v>
      </x:c>
      <x:c r="D86" s="2" t="str">
        <x:v>M-0081</x:v>
      </x:c>
      <x:c r="E86" s="16" t="n">
        <x:v>79</x:v>
      </x:c>
      <x:c r="F86" s="17" t="n">
        <x:v>91524.15</x:v>
      </x:c>
      <x:c r="G86" s="17" t="n">
        <x:v>2593.18</x:v>
      </x:c>
      <x:c r="H86" s="17" t="n">
        <x:v>1189.81</x:v>
      </x:c>
      <x:c r="I86" s="17" t="n">
        <x:v>87741.16</x:v>
      </x:c>
      <x:c r="J86" s="17" t="n">
        <x:v>48030.75</x:v>
      </x:c>
      <x:c r="K86" s="17" t="n">
        <x:v>2193.53</x:v>
      </x:c>
      <x:c r="L86" s="17" t="n">
        <x:v>2105.79</x:v>
      </x:c>
      <x:c r="M86" s="17" t="n">
        <x:v>1579.34</x:v>
      </x:c>
      <x:c r="N86" s="16" t="n">
        <x:v>22</x:v>
      </x:c>
      <x:c r="O86" s="16" t="n">
        <x:v>5</x:v>
      </x:c>
      <x:c r="P86" s="16" t="n">
        <x:v>2</x:v>
      </x:c>
      <x:c r="Q86" s="16" t="n">
        <x:v>25</x:v>
      </x:c>
      <x:c r="R86" s="16" t="n">
        <x:v>18</x:v>
      </x:c>
      <x:c r="S86" s="16" t="n">
        <x:v>3</x:v>
      </x:c>
      <x:c r="T86" s="15" t="n">
        <x:f>YEAR(A86)</x:f>
        <x:v>2023</x:v>
      </x:c>
      <x:c r="U86" s="15" t="n">
        <x:f>ROUNDUP(MONTH(A86)/3,0)</x:f>
        <x:v>3</x:v>
      </x:c>
      <x:c r="V86" s="18" t="n">
        <x:f>I86-J86</x:f>
        <x:v>39710.41</x:v>
      </x:c>
      <x:c r="W86" s="19" t="n">
        <x:f>IF(I86=0,"",V86/I86)</x:f>
        <x:v>0.45258587873695766</x:v>
      </x:c>
      <x:c r="X86" s="18" t="n">
        <x:f>I86-J86-K86-L86-M86</x:f>
        <x:v>33831.75000000001</x:v>
      </x:c>
      <x:c r="Y86" s="19" t="n">
        <x:f>IF(I86=0,"",X86/I86)</x:f>
        <x:v>0.3855858527514339</x:v>
      </x:c>
      <x:c r="Z86" s="18" t="n">
        <x:f>IF(E86=0,"",F86/E86)</x:f>
        <x:v>1158.5335443037975</x:v>
      </x:c>
      <x:c r="AA86" s="18" t="n">
        <x:f>IF(N86=0,"",M86/N86)</x:f>
        <x:v>71.78818181818181</x:v>
      </x:c>
      <x:c r="AB86" s="19" t="n">
        <x:f>IF(E86=0,"",O86/E86)</x:f>
        <x:v>0.06329113924050633</x:v>
      </x:c>
      <x:c r="AC86" s="19" t="n">
        <x:f>IF(E86=0,"",P86/E86)</x:f>
        <x:v>0.02531645569620253</x:v>
      </x:c>
      <x:c r="AD86" s="20" t="n">
        <x:f>IF(Q86=0,"",100*(R86-S86)/Q86)</x:f>
        <x:v>60</x:v>
      </x:c>
      <x:c r="AE86" s="19" t="n">
        <x:f>IF(F86=0,"",G86/F86)</x:f>
        <x:v>0.028333286897501916</x:v>
      </x:c>
      <x:c r="AF86" s="18" t="n">
        <x:f>ROUND(I86-(F86-G86-H86),2)</x:f>
        <x:v>0</x:v>
      </x:c>
    </x:row>
    <x:row r="87" ht="24" customHeight="1">
      <x:c r="A87" s="14" t="n">
        <x:v>45108</x:v>
      </x:c>
      <x:c r="B87" s="2" t="str">
        <x:v>B2B</x:v>
      </x:c>
      <x:c r="C87" s="2" t="str">
        <x:v>Nordeste</x:v>
      </x:c>
      <x:c r="D87" s="2" t="str">
        <x:v>M-0082</x:v>
      </x:c>
      <x:c r="E87" s="16" t="n">
        <x:v>46</x:v>
      </x:c>
      <x:c r="F87" s="17" t="n">
        <x:v>53909.79</x:v>
      </x:c>
      <x:c r="G87" s="17" t="n">
        <x:v>1527.44</x:v>
      </x:c>
      <x:c r="H87" s="17" t="n">
        <x:v>700.83</x:v>
      </x:c>
      <x:c r="I87" s="17" t="n">
        <x:v>51681.52</x:v>
      </x:c>
      <x:c r="J87" s="17" t="n">
        <x:v>27037.41</x:v>
      </x:c>
      <x:c r="K87" s="17" t="n">
        <x:v>1292.04</x:v>
      </x:c>
      <x:c r="L87" s="17" t="n">
        <x:v>1240.36</x:v>
      </x:c>
      <x:c r="M87" s="17" t="n">
        <x:v>930.27</x:v>
      </x:c>
      <x:c r="N87" s="16" t="n">
        <x:v>13</x:v>
      </x:c>
      <x:c r="O87" s="16" t="n">
        <x:v>3</x:v>
      </x:c>
      <x:c r="P87" s="16" t="n">
        <x:v>1</x:v>
      </x:c>
      <x:c r="Q87" s="16" t="n">
        <x:v>15</x:v>
      </x:c>
      <x:c r="R87" s="16" t="n">
        <x:v>11</x:v>
      </x:c>
      <x:c r="S87" s="16" t="n">
        <x:v>2</x:v>
      </x:c>
      <x:c r="T87" s="15" t="n">
        <x:f>YEAR(A87)</x:f>
        <x:v>2023</x:v>
      </x:c>
      <x:c r="U87" s="15" t="n">
        <x:f>ROUNDUP(MONTH(A87)/3,0)</x:f>
        <x:v>3</x:v>
      </x:c>
      <x:c r="V87" s="18" t="n">
        <x:f>I87-J87</x:f>
        <x:v>24644.109999999997</x:v>
      </x:c>
      <x:c r="W87" s="19" t="n">
        <x:f>IF(I87=0,"",V87/I87)</x:f>
        <x:v>0.4768456887490925</x:v>
      </x:c>
      <x:c r="X87" s="18" t="n">
        <x:f>I87-J87-K87-L87-M87</x:f>
        <x:v>21181.439999999995</x:v>
      </x:c>
      <x:c r="Y87" s="19" t="n">
        <x:f>IF(I87=0,"",X87/I87)</x:f>
        <x:v>0.40984553085899944</x:v>
      </x:c>
      <x:c r="Z87" s="18" t="n">
        <x:f>IF(E87=0,"",F87/E87)</x:f>
        <x:v>1171.9519565217392</x:v>
      </x:c>
      <x:c r="AA87" s="18" t="n">
        <x:f>IF(N87=0,"",M87/N87)</x:f>
        <x:v>71.55923076923077</x:v>
      </x:c>
      <x:c r="AB87" s="19" t="n">
        <x:f>IF(E87=0,"",O87/E87)</x:f>
        <x:v>0.06521739130434782</x:v>
      </x:c>
      <x:c r="AC87" s="19" t="n">
        <x:f>IF(E87=0,"",P87/E87)</x:f>
        <x:v>0.021739130434782608</x:v>
      </x:c>
      <x:c r="AD87" s="20" t="n">
        <x:f>IF(Q87=0,"",100*(R87-S87)/Q87)</x:f>
        <x:v>60</x:v>
      </x:c>
      <x:c r="AE87" s="19" t="n">
        <x:f>IF(F87=0,"",G87/F87)</x:f>
        <x:v>0.02833325820783201</x:v>
      </x:c>
      <x:c r="AF87" s="18" t="n">
        <x:f>ROUND(I87-(F87-G87-H87),2)</x:f>
        <x:v>0</x:v>
      </x:c>
    </x:row>
    <x:row r="88" ht="24" customHeight="1">
      <x:c r="A88" s="14" t="n">
        <x:v>45108</x:v>
      </x:c>
      <x:c r="B88" s="2" t="str">
        <x:v>B2B</x:v>
      </x:c>
      <x:c r="C88" s="2" t="str">
        <x:v>Sul</x:v>
      </x:c>
      <x:c r="D88" s="2" t="str">
        <x:v>M-0083</x:v>
      </x:c>
      <x:c r="E88" s="16" t="n">
        <x:v>39</x:v>
      </x:c>
      <x:c r="F88" s="17" t="n">
        <x:v>45442.28</x:v>
      </x:c>
      <x:c r="G88" s="17" t="n">
        <x:v>1287.53</x:v>
      </x:c>
      <x:c r="H88" s="17" t="n">
        <x:v>590.75</x:v>
      </x:c>
      <x:c r="I88" s="17" t="n">
        <x:v>43564</x:v>
      </x:c>
      <x:c r="J88" s="17" t="n">
        <x:v>23655.7</x:v>
      </x:c>
      <x:c r="K88" s="17" t="n">
        <x:v>1089.1</x:v>
      </x:c>
      <x:c r="L88" s="17" t="n">
        <x:v>1045.54</x:v>
      </x:c>
      <x:c r="M88" s="17" t="n">
        <x:v>784.15</x:v>
      </x:c>
      <x:c r="N88" s="16" t="n">
        <x:v>11</x:v>
      </x:c>
      <x:c r="O88" s="16" t="n">
        <x:v>2</x:v>
      </x:c>
      <x:c r="P88" s="16" t="n">
        <x:v>1</x:v>
      </x:c>
      <x:c r="Q88" s="16" t="n">
        <x:v>12</x:v>
      </x:c>
      <x:c r="R88" s="16" t="n">
        <x:v>8</x:v>
      </x:c>
      <x:c r="S88" s="16" t="n">
        <x:v>1</x:v>
      </x:c>
      <x:c r="T88" s="15" t="n">
        <x:f>YEAR(A88)</x:f>
        <x:v>2023</x:v>
      </x:c>
      <x:c r="U88" s="15" t="n">
        <x:f>ROUNDUP(MONTH(A88)/3,0)</x:f>
        <x:v>3</x:v>
      </x:c>
      <x:c r="V88" s="18" t="n">
        <x:f>I88-J88</x:f>
        <x:v>19908.3</x:v>
      </x:c>
      <x:c r="W88" s="19" t="n">
        <x:f>IF(I88=0,"",V88/I88)</x:f>
        <x:v>0.4569897162794968</x:v>
      </x:c>
      <x:c r="X88" s="18" t="n">
        <x:f>I88-J88-K88-L88-M88</x:f>
        <x:v>16989.51</x:v>
      </x:c>
      <x:c r="Y88" s="19" t="n">
        <x:f>IF(I88=0,"",X88/I88)</x:f>
        <x:v>0.38998967037003024</x:v>
      </x:c>
      <x:c r="Z88" s="18" t="n">
        <x:f>IF(E88=0,"",F88/E88)</x:f>
        <x:v>1165.1866666666667</x:v>
      </x:c>
      <x:c r="AA88" s="18" t="n">
        <x:f>IF(N88=0,"",M88/N88)</x:f>
        <x:v>71.28636363636363</x:v>
      </x:c>
      <x:c r="AB88" s="19" t="n">
        <x:f>IF(E88=0,"",O88/E88)</x:f>
        <x:v>0.05128205128205128</x:v>
      </x:c>
      <x:c r="AC88" s="19" t="n">
        <x:f>IF(E88=0,"",P88/E88)</x:f>
        <x:v>0.02564102564102564</x:v>
      </x:c>
      <x:c r="AD88" s="20" t="n">
        <x:f>IF(Q88=0,"",100*(R88-S88)/Q88)</x:f>
        <x:v>58.333333333333336</x:v>
      </x:c>
      <x:c r="AE88" s="19" t="n">
        <x:f>IF(F88=0,"",G88/F88)</x:f>
        <x:v>0.028333305459145097</x:v>
      </x:c>
      <x:c r="AF88" s="18" t="n">
        <x:f>ROUND(I88-(F88-G88-H88),2)</x:f>
        <x:v>0</x:v>
      </x:c>
    </x:row>
    <x:row r="89" ht="24" customHeight="1">
      <x:c r="A89" s="14" t="n">
        <x:v>45108</x:v>
      </x:c>
      <x:c r="B89" s="2" t="str">
        <x:v>B2B</x:v>
      </x:c>
      <x:c r="C89" s="2" t="str">
        <x:v>Centro-Oeste</x:v>
      </x:c>
      <x:c r="D89" s="2" t="str">
        <x:v>M-0084</x:v>
      </x:c>
      <x:c r="E89" s="16" t="n">
        <x:v>33</x:v>
      </x:c>
      <x:c r="F89" s="17" t="n">
        <x:v>38869.19</x:v>
      </x:c>
      <x:c r="G89" s="17" t="n">
        <x:v>1101.29</x:v>
      </x:c>
      <x:c r="H89" s="17" t="n">
        <x:v>505.3</x:v>
      </x:c>
      <x:c r="I89" s="17" t="n">
        <x:v>37262.6</x:v>
      </x:c>
      <x:c r="J89" s="17" t="n">
        <x:v>20165.06</x:v>
      </x:c>
      <x:c r="K89" s="17" t="n">
        <x:v>931.56</x:v>
      </x:c>
      <x:c r="L89" s="17" t="n">
        <x:v>894.3</x:v>
      </x:c>
      <x:c r="M89" s="17" t="n">
        <x:v>670.73</x:v>
      </x:c>
      <x:c r="N89" s="16" t="n">
        <x:v>9</x:v>
      </x:c>
      <x:c r="O89" s="16" t="n">
        <x:v>2</x:v>
      </x:c>
      <x:c r="P89" s="16" t="n">
        <x:v>1</x:v>
      </x:c>
      <x:c r="Q89" s="16" t="n">
        <x:v>11</x:v>
      </x:c>
      <x:c r="R89" s="16" t="n">
        <x:v>8</x:v>
      </x:c>
      <x:c r="S89" s="16" t="n">
        <x:v>1</x:v>
      </x:c>
      <x:c r="T89" s="15" t="n">
        <x:f>YEAR(A89)</x:f>
        <x:v>2023</x:v>
      </x:c>
      <x:c r="U89" s="15" t="n">
        <x:f>ROUNDUP(MONTH(A89)/3,0)</x:f>
        <x:v>3</x:v>
      </x:c>
      <x:c r="V89" s="18" t="n">
        <x:f>I89-J89</x:f>
        <x:v>17097.539999999997</x:v>
      </x:c>
      <x:c r="W89" s="19" t="n">
        <x:f>IF(I89=0,"",V89/I89)</x:f>
        <x:v>0.45883915776140144</x:v>
      </x:c>
      <x:c r="X89" s="18" t="n">
        <x:f>I89-J89-K89-L89-M89</x:f>
        <x:v>14600.949999999999</x:v>
      </x:c>
      <x:c r="Y89" s="19" t="n">
        <x:f>IF(I89=0,"",X89/I89)</x:f>
        <x:v>0.3918392704749534</x:v>
      </x:c>
      <x:c r="Z89" s="18" t="n">
        <x:f>IF(E89=0,"",F89/E89)</x:f>
        <x:v>1177.8542424242426</x:v>
      </x:c>
      <x:c r="AA89" s="18" t="n">
        <x:f>IF(N89=0,"",M89/N89)</x:f>
        <x:v>74.52555555555556</x:v>
      </x:c>
      <x:c r="AB89" s="19" t="n">
        <x:f>IF(E89=0,"",O89/E89)</x:f>
        <x:v>0.06060606060606061</x:v>
      </x:c>
      <x:c r="AC89" s="19" t="n">
        <x:f>IF(E89=0,"",P89/E89)</x:f>
        <x:v>0.030303030303030304</x:v>
      </x:c>
      <x:c r="AD89" s="20" t="n">
        <x:f>IF(Q89=0,"",100*(R89-S89)/Q89)</x:f>
        <x:v>63.63636363636363</x:v>
      </x:c>
      <x:c r="AE89" s="19" t="n">
        <x:f>IF(F89=0,"",G89/F89)</x:f>
        <x:v>0.0283332377134692</x:v>
      </x:c>
      <x:c r="AF89" s="18" t="n">
        <x:f>ROUND(I89-(F89-G89-H89),2)</x:f>
        <x:v>0</x:v>
      </x:c>
    </x:row>
    <x:row r="90" ht="24" customHeight="1">
      <x:c r="A90" s="14" t="n">
        <x:v>45139</x:v>
      </x:c>
      <x:c r="B90" s="2" t="str">
        <x:v>E-commerce</x:v>
      </x:c>
      <x:c r="C90" s="2" t="str">
        <x:v>Sudeste</x:v>
      </x:c>
      <x:c r="D90" s="2" t="str">
        <x:v>M-0085</x:v>
      </x:c>
      <x:c r="E90" s="16" t="n">
        <x:v>136</x:v>
      </x:c>
      <x:c r="F90" s="17" t="n">
        <x:v>158155.26</x:v>
      </x:c>
      <x:c r="G90" s="17" t="n">
        <x:v>4568.93</x:v>
      </x:c>
      <x:c r="H90" s="17" t="n">
        <x:v>2135.1</x:v>
      </x:c>
      <x:c r="I90" s="17" t="n">
        <x:v>151451.23</x:v>
      </x:c>
      <x:c r="J90" s="17" t="n">
        <x:v>80169.39</x:v>
      </x:c>
      <x:c r="K90" s="17" t="n">
        <x:v>7118.21</x:v>
      </x:c>
      <x:c r="L90" s="17" t="n">
        <x:v>3634.83</x:v>
      </x:c>
      <x:c r="M90" s="17" t="n">
        <x:v>11358.84</x:v>
      </x:c>
      <x:c r="N90" s="16" t="n">
        <x:v>71</x:v>
      </x:c>
      <x:c r="O90" s="16" t="n">
        <x:v>9</x:v>
      </x:c>
      <x:c r="P90" s="16" t="n">
        <x:v>3</x:v>
      </x:c>
      <x:c r="Q90" s="16" t="n">
        <x:v>44</x:v>
      </x:c>
      <x:c r="R90" s="16" t="n">
        <x:v>31</x:v>
      </x:c>
      <x:c r="S90" s="16" t="n">
        <x:v>6</x:v>
      </x:c>
      <x:c r="T90" s="15" t="n">
        <x:f>YEAR(A90)</x:f>
        <x:v>2023</x:v>
      </x:c>
      <x:c r="U90" s="15" t="n">
        <x:f>ROUNDUP(MONTH(A90)/3,0)</x:f>
        <x:v>3</x:v>
      </x:c>
      <x:c r="V90" s="18" t="n">
        <x:f>I90-J90</x:f>
        <x:v>71281.84000000001</x:v>
      </x:c>
      <x:c r="W90" s="19" t="n">
        <x:f>IF(I90=0,"",V90/I90)</x:f>
        <x:v>0.47065870643638885</x:v>
      </x:c>
      <x:c r="X90" s="18" t="n">
        <x:f>I90-J90-K90-L90-M90</x:f>
        <x:v>49169.96000000001</x:v>
      </x:c>
      <x:c r="Y90" s="19" t="n">
        <x:f>IF(I90=0,"",X90/I90)</x:f>
        <x:v>0.32465870366321886</x:v>
      </x:c>
      <x:c r="Z90" s="18" t="n">
        <x:f>IF(E90=0,"",F90/E90)</x:f>
        <x:v>1162.9063235294118</x:v>
      </x:c>
      <x:c r="AA90" s="18" t="n">
        <x:f>IF(N90=0,"",M90/N90)</x:f>
        <x:v>159.983661971831</x:v>
      </x:c>
      <x:c r="AB90" s="19" t="n">
        <x:f>IF(E90=0,"",O90/E90)</x:f>
        <x:v>0.0661764705882353</x:v>
      </x:c>
      <x:c r="AC90" s="19" t="n">
        <x:f>IF(E90=0,"",P90/E90)</x:f>
        <x:v>0.022058823529411766</x:v>
      </x:c>
      <x:c r="AD90" s="20" t="n">
        <x:f>IF(Q90=0,"",100*(R90-S90)/Q90)</x:f>
        <x:v>56.81818181818182</x:v>
      </x:c>
      <x:c r="AE90" s="19" t="n">
        <x:f>IF(F90=0,"",G90/F90)</x:f>
        <x:v>0.028888890574995735</x:v>
      </x:c>
      <x:c r="AF90" s="18" t="n">
        <x:f>ROUND(I90-(F90-G90-H90),2)</x:f>
        <x:v>0</x:v>
      </x:c>
    </x:row>
    <x:row r="91" ht="24" customHeight="1">
      <x:c r="A91" s="14" t="n">
        <x:v>45139</x:v>
      </x:c>
      <x:c r="B91" s="2" t="str">
        <x:v>E-commerce</x:v>
      </x:c>
      <x:c r="C91" s="2" t="str">
        <x:v>Nordeste</x:v>
      </x:c>
      <x:c r="D91" s="2" t="str">
        <x:v>M-0086</x:v>
      </x:c>
      <x:c r="E91" s="16" t="n">
        <x:v>105</x:v>
      </x:c>
      <x:c r="F91" s="17" t="n">
        <x:v>122126.03</x:v>
      </x:c>
      <x:c r="G91" s="17" t="n">
        <x:v>3528.09</x:v>
      </x:c>
      <x:c r="H91" s="17" t="n">
        <x:v>1648.7</x:v>
      </x:c>
      <x:c r="I91" s="17" t="n">
        <x:v>116949.24</x:v>
      </x:c>
      <x:c r="J91" s="17" t="n">
        <x:v>61613.63</x:v>
      </x:c>
      <x:c r="K91" s="17" t="n">
        <x:v>5496.61</x:v>
      </x:c>
      <x:c r="L91" s="17" t="n">
        <x:v>2806.78</x:v>
      </x:c>
      <x:c r="M91" s="17" t="n">
        <x:v>8771.19</x:v>
      </x:c>
      <x:c r="N91" s="16" t="n">
        <x:v>55</x:v>
      </x:c>
      <x:c r="O91" s="16" t="n">
        <x:v>7</x:v>
      </x:c>
      <x:c r="P91" s="16" t="n">
        <x:v>2</x:v>
      </x:c>
      <x:c r="Q91" s="16" t="n">
        <x:v>34</x:v>
      </x:c>
      <x:c r="R91" s="16" t="n">
        <x:v>24</x:v>
      </x:c>
      <x:c r="S91" s="16" t="n">
        <x:v>4</x:v>
      </x:c>
      <x:c r="T91" s="15" t="n">
        <x:f>YEAR(A91)</x:f>
        <x:v>2023</x:v>
      </x:c>
      <x:c r="U91" s="15" t="n">
        <x:f>ROUNDUP(MONTH(A91)/3,0)</x:f>
        <x:v>3</x:v>
      </x:c>
      <x:c r="V91" s="18" t="n">
        <x:f>I91-J91</x:f>
        <x:v>55335.61000000001</x:v>
      </x:c>
      <x:c r="W91" s="19" t="n">
        <x:f>IF(I91=0,"",V91/I91)</x:f>
        <x:v>0.4731592099273155</x:v>
      </x:c>
      <x:c r="X91" s="18" t="n">
        <x:f>I91-J91-K91-L91-M91</x:f>
        <x:v>38261.030000000006</x:v>
      </x:c>
      <x:c r="Y91" s="19" t="n">
        <x:f>IF(I91=0,"",X91/I91)</x:f>
        <x:v>0.32715928722580845</x:v>
      </x:c>
      <x:c r="Z91" s="18" t="n">
        <x:f>IF(E91=0,"",F91/E91)</x:f>
        <x:v>1163.1050476190476</x:v>
      </x:c>
      <x:c r="AA91" s="18" t="n">
        <x:f>IF(N91=0,"",M91/N91)</x:f>
        <x:v>159.47618181818183</x:v>
      </x:c>
      <x:c r="AB91" s="19" t="n">
        <x:f>IF(E91=0,"",O91/E91)</x:f>
        <x:v>0.06666666666666667</x:v>
      </x:c>
      <x:c r="AC91" s="19" t="n">
        <x:f>IF(E91=0,"",P91/E91)</x:f>
        <x:v>0.01904761904761905</x:v>
      </x:c>
      <x:c r="AD91" s="20" t="n">
        <x:f>IF(Q91=0,"",100*(R91-S91)/Q91)</x:f>
        <x:v>58.8235294117647</x:v>
      </x:c>
      <x:c r="AE91" s="19" t="n">
        <x:f>IF(F91=0,"",G91/F91)</x:f>
        <x:v>0.028888927282742265</x:v>
      </x:c>
      <x:c r="AF91" s="18" t="n">
        <x:f>ROUND(I91-(F91-G91-H91),2)</x:f>
        <x:v>0</x:v>
      </x:c>
    </x:row>
    <x:row r="92" ht="24" customHeight="1">
      <x:c r="A92" s="14" t="n">
        <x:v>45139</x:v>
      </x:c>
      <x:c r="B92" s="2" t="str">
        <x:v>E-commerce</x:v>
      </x:c>
      <x:c r="C92" s="2" t="str">
        <x:v>Sul</x:v>
      </x:c>
      <x:c r="D92" s="2" t="str">
        <x:v>M-0087</x:v>
      </x:c>
      <x:c r="E92" s="16" t="n">
        <x:v>76</x:v>
      </x:c>
      <x:c r="F92" s="17" t="n">
        <x:v>88274.1</x:v>
      </x:c>
      <x:c r="G92" s="17" t="n">
        <x:v>2550.14</x:v>
      </x:c>
      <x:c r="H92" s="17" t="n">
        <x:v>1191.7</x:v>
      </x:c>
      <x:c r="I92" s="17" t="n">
        <x:v>84532.26</x:v>
      </x:c>
      <x:c r="J92" s="17" t="n">
        <x:v>44297.39</x:v>
      </x:c>
      <x:c r="K92" s="17" t="n">
        <x:v>3973.02</x:v>
      </x:c>
      <x:c r="L92" s="17" t="n">
        <x:v>2028.77</x:v>
      </x:c>
      <x:c r="M92" s="17" t="n">
        <x:v>6339.92</x:v>
      </x:c>
      <x:c r="N92" s="16" t="n">
        <x:v>40</x:v>
      </x:c>
      <x:c r="O92" s="16" t="n">
        <x:v>5</x:v>
      </x:c>
      <x:c r="P92" s="16" t="n">
        <x:v>2</x:v>
      </x:c>
      <x:c r="Q92" s="16" t="n">
        <x:v>24</x:v>
      </x:c>
      <x:c r="R92" s="16" t="n">
        <x:v>17</x:v>
      </x:c>
      <x:c r="S92" s="16" t="n">
        <x:v>3</x:v>
      </x:c>
      <x:c r="T92" s="15" t="n">
        <x:f>YEAR(A92)</x:f>
        <x:v>2023</x:v>
      </x:c>
      <x:c r="U92" s="15" t="n">
        <x:f>ROUNDUP(MONTH(A92)/3,0)</x:f>
        <x:v>3</x:v>
      </x:c>
      <x:c r="V92" s="18" t="n">
        <x:f>I92-J92</x:f>
        <x:v>40234.869999999995</x:v>
      </x:c>
      <x:c r="W92" s="19" t="n">
        <x:f>IF(I92=0,"",V92/I92)</x:f>
        <x:v>0.4759705939483932</x:v>
      </x:c>
      <x:c r="X92" s="18" t="n">
        <x:f>I92-J92-K92-L92-M92</x:f>
        <x:v>27893.160000000003</x:v>
      </x:c>
      <x:c r="Y92" s="19" t="n">
        <x:f>IF(I92=0,"",X92/I92)</x:f>
        <x:v>0.32997059347520113</x:v>
      </x:c>
      <x:c r="Z92" s="18" t="n">
        <x:f>IF(E92=0,"",F92/E92)</x:f>
        <x:v>1161.5013157894737</x:v>
      </x:c>
      <x:c r="AA92" s="18" t="n">
        <x:f>IF(N92=0,"",M92/N92)</x:f>
        <x:v>158.498</x:v>
      </x:c>
      <x:c r="AB92" s="19" t="n">
        <x:f>IF(E92=0,"",O92/E92)</x:f>
        <x:v>0.06578947368421052</x:v>
      </x:c>
      <x:c r="AC92" s="19" t="n">
        <x:f>IF(E92=0,"",P92/E92)</x:f>
        <x:v>0.02631578947368421</x:v>
      </x:c>
      <x:c r="AD92" s="20" t="n">
        <x:f>IF(Q92=0,"",100*(R92-S92)/Q92)</x:f>
        <x:v>58.333333333333336</x:v>
      </x:c>
      <x:c r="AE92" s="19" t="n">
        <x:f>IF(F92=0,"",G92/F92)</x:f>
        <x:v>0.028888881336654803</x:v>
      </x:c>
      <x:c r="AF92" s="18" t="n">
        <x:f>ROUND(I92-(F92-G92-H92),2)</x:f>
        <x:v>0</x:v>
      </x:c>
    </x:row>
    <x:row r="93" ht="24" customHeight="1">
      <x:c r="A93" s="14" t="n">
        <x:v>45139</x:v>
      </x:c>
      <x:c r="B93" s="2" t="str">
        <x:v>E-commerce</x:v>
      </x:c>
      <x:c r="C93" s="2" t="str">
        <x:v>Centro-Oeste</x:v>
      </x:c>
      <x:c r="D93" s="2" t="str">
        <x:v>M-0088</x:v>
      </x:c>
      <x:c r="E93" s="16" t="n">
        <x:v>62</x:v>
      </x:c>
      <x:c r="F93" s="17" t="n">
        <x:v>71726.3</x:v>
      </x:c>
      <x:c r="G93" s="17" t="n">
        <x:v>2072.09</x:v>
      </x:c>
      <x:c r="H93" s="17" t="n">
        <x:v>968.31</x:v>
      </x:c>
      <x:c r="I93" s="17" t="n">
        <x:v>68685.9</x:v>
      </x:c>
      <x:c r="J93" s="17" t="n">
        <x:v>38378.4</x:v>
      </x:c>
      <x:c r="K93" s="17" t="n">
        <x:v>3228.24</x:v>
      </x:c>
      <x:c r="L93" s="17" t="n">
        <x:v>1648.46</x:v>
      </x:c>
      <x:c r="M93" s="17" t="n">
        <x:v>5151.44</x:v>
      </x:c>
      <x:c r="N93" s="16" t="n">
        <x:v>32</x:v>
      </x:c>
      <x:c r="O93" s="16" t="n">
        <x:v>4</x:v>
      </x:c>
      <x:c r="P93" s="16" t="n">
        <x:v>1</x:v>
      </x:c>
      <x:c r="Q93" s="16" t="n">
        <x:v>20</x:v>
      </x:c>
      <x:c r="R93" s="16" t="n">
        <x:v>14</x:v>
      </x:c>
      <x:c r="S93" s="16" t="n">
        <x:v>3</x:v>
      </x:c>
      <x:c r="T93" s="15" t="n">
        <x:f>YEAR(A93)</x:f>
        <x:v>2023</x:v>
      </x:c>
      <x:c r="U93" s="15" t="n">
        <x:f>ROUNDUP(MONTH(A93)/3,0)</x:f>
        <x:v>3</x:v>
      </x:c>
      <x:c r="V93" s="18" t="n">
        <x:f>I93-J93</x:f>
        <x:v>30307.499999999993</x:v>
      </x:c>
      <x:c r="W93" s="19" t="n">
        <x:f>IF(I93=0,"",V93/I93)</x:f>
        <x:v>0.44124776700894935</x:v>
      </x:c>
      <x:c r="X93" s="18" t="n">
        <x:f>I93-J93-K93-L93-M93</x:f>
        <x:v>20279.359999999997</x:v>
      </x:c>
      <x:c r="Y93" s="19" t="n">
        <x:f>IF(I93=0,"",X93/I93)</x:f>
        <x:v>0.2952477873915898</x:v>
      </x:c>
      <x:c r="Z93" s="18" t="n">
        <x:f>IF(E93=0,"",F93/E93)</x:f>
        <x:v>1156.875806451613</x:v>
      </x:c>
      <x:c r="AA93" s="18" t="n">
        <x:f>IF(N93=0,"",M93/N93)</x:f>
        <x:v>160.9825</x:v>
      </x:c>
      <x:c r="AB93" s="19" t="n">
        <x:f>IF(E93=0,"",O93/E93)</x:f>
        <x:v>0.06451612903225806</x:v>
      </x:c>
      <x:c r="AC93" s="19" t="n">
        <x:f>IF(E93=0,"",P93/E93)</x:f>
        <x:v>0.016129032258064516</x:v>
      </x:c>
      <x:c r="AD93" s="20" t="n">
        <x:f>IF(Q93=0,"",100*(R93-S93)/Q93)</x:f>
        <x:v>55</x:v>
      </x:c>
      <x:c r="AE93" s="19" t="n">
        <x:f>IF(F93=0,"",G93/F93)</x:f>
        <x:v>0.02888884551412801</x:v>
      </x:c>
      <x:c r="AF93" s="18" t="n">
        <x:f>ROUND(I93-(F93-G93-H93),2)</x:f>
        <x:v>0</x:v>
      </x:c>
    </x:row>
    <x:row r="94" ht="24" customHeight="1">
      <x:c r="A94" s="14" t="n">
        <x:v>45139</x:v>
      </x:c>
      <x:c r="B94" s="2" t="str">
        <x:v>Lojas</x:v>
      </x:c>
      <x:c r="C94" s="2" t="str">
        <x:v>Sudeste</x:v>
      </x:c>
      <x:c r="D94" s="2" t="str">
        <x:v>M-0089</x:v>
      </x:c>
      <x:c r="E94" s="16" t="n">
        <x:v>126</x:v>
      </x:c>
      <x:c r="F94" s="17" t="n">
        <x:v>146925.82</x:v>
      </x:c>
      <x:c r="G94" s="17" t="n">
        <x:v>4244.52</x:v>
      </x:c>
      <x:c r="H94" s="17" t="n">
        <x:v>1983.5</x:v>
      </x:c>
      <x:c r="I94" s="17" t="n">
        <x:v>140697.8</x:v>
      </x:c>
      <x:c r="J94" s="17" t="n">
        <x:v>73707.81</x:v>
      </x:c>
      <x:c r="K94" s="17" t="n">
        <x:v>3658.14</x:v>
      </x:c>
      <x:c r="L94" s="17" t="n">
        <x:v>3376.75</x:v>
      </x:c>
      <x:c r="M94" s="17" t="n">
        <x:v>2532.56</x:v>
      </x:c>
      <x:c r="N94" s="16" t="n">
        <x:v>35</x:v>
      </x:c>
      <x:c r="O94" s="16" t="n">
        <x:v>9</x:v>
      </x:c>
      <x:c r="P94" s="16" t="n">
        <x:v>3</x:v>
      </x:c>
      <x:c r="Q94" s="16" t="n">
        <x:v>40</x:v>
      </x:c>
      <x:c r="R94" s="16" t="n">
        <x:v>28</x:v>
      </x:c>
      <x:c r="S94" s="16" t="n">
        <x:v>5</x:v>
      </x:c>
      <x:c r="T94" s="15" t="n">
        <x:f>YEAR(A94)</x:f>
        <x:v>2023</x:v>
      </x:c>
      <x:c r="U94" s="15" t="n">
        <x:f>ROUNDUP(MONTH(A94)/3,0)</x:f>
        <x:v>3</x:v>
      </x:c>
      <x:c r="V94" s="18" t="n">
        <x:f>I94-J94</x:f>
        <x:v>66989.98999999999</x:v>
      </x:c>
      <x:c r="W94" s="19" t="n">
        <x:f>IF(I94=0,"",V94/I94)</x:f>
        <x:v>0.47612677668023234</x:v>
      </x:c>
      <x:c r="X94" s="18" t="n">
        <x:f>I94-J94-K94-L94-M94</x:f>
        <x:v>57422.53999999999</x:v>
      </x:c>
      <x:c r="Y94" s="19" t="n">
        <x:f>IF(I94=0,"",X94/I94)</x:f>
        <x:v>0.40812677952320503</x:v>
      </x:c>
      <x:c r="Z94" s="18" t="n">
        <x:f>IF(E94=0,"",F94/E94)</x:f>
        <x:v>1166.0779365079366</x:v>
      </x:c>
      <x:c r="AA94" s="18" t="n">
        <x:f>IF(N94=0,"",M94/N94)</x:f>
        <x:v>72.35885714285715</x:v>
      </x:c>
      <x:c r="AB94" s="19" t="n">
        <x:f>IF(E94=0,"",O94/E94)</x:f>
        <x:v>0.07142857142857142</x:v>
      </x:c>
      <x:c r="AC94" s="19" t="n">
        <x:f>IF(E94=0,"",P94/E94)</x:f>
        <x:v>0.023809523809523808</x:v>
      </x:c>
      <x:c r="AD94" s="20" t="n">
        <x:f>IF(Q94=0,"",100*(R94-S94)/Q94)</x:f>
        <x:v>57.5</x:v>
      </x:c>
      <x:c r="AE94" s="19" t="n">
        <x:f>IF(F94=0,"",G94/F94)</x:f>
        <x:v>0.028888863781736936</x:v>
      </x:c>
      <x:c r="AF94" s="18" t="n">
        <x:f>ROUND(I94-(F94-G94-H94),2)</x:f>
        <x:v>0</x:v>
      </x:c>
    </x:row>
    <x:row r="95" ht="24" customHeight="1">
      <x:c r="A95" s="14" t="n">
        <x:v>45139</x:v>
      </x:c>
      <x:c r="B95" s="2" t="str">
        <x:v>Lojas</x:v>
      </x:c>
      <x:c r="C95" s="2" t="str">
        <x:v>Nordeste</x:v>
      </x:c>
      <x:c r="D95" s="2" t="str">
        <x:v>M-0090</x:v>
      </x:c>
      <x:c r="E95" s="16" t="n">
        <x:v>84</x:v>
      </x:c>
      <x:c r="F95" s="17" t="n">
        <x:v>97203.85</x:v>
      </x:c>
      <x:c r="G95" s="17" t="n">
        <x:v>2808.11</x:v>
      </x:c>
      <x:c r="H95" s="17" t="n">
        <x:v>1312.25</x:v>
      </x:c>
      <x:c r="I95" s="17" t="n">
        <x:v>93083.49</x:v>
      </x:c>
      <x:c r="J95" s="17" t="n">
        <x:v>48583.17</x:v>
      </x:c>
      <x:c r="K95" s="17" t="n">
        <x:v>2420.17</x:v>
      </x:c>
      <x:c r="L95" s="17" t="n">
        <x:v>2234</x:v>
      </x:c>
      <x:c r="M95" s="17" t="n">
        <x:v>1675.5</x:v>
      </x:c>
      <x:c r="N95" s="16" t="n">
        <x:v>24</x:v>
      </x:c>
      <x:c r="O95" s="16" t="n">
        <x:v>6</x:v>
      </x:c>
      <x:c r="P95" s="16" t="n">
        <x:v>2</x:v>
      </x:c>
      <x:c r="Q95" s="16" t="n">
        <x:v>27</x:v>
      </x:c>
      <x:c r="R95" s="16" t="n">
        <x:v>19</x:v>
      </x:c>
      <x:c r="S95" s="16" t="n">
        <x:v>3</x:v>
      </x:c>
      <x:c r="T95" s="15" t="n">
        <x:f>YEAR(A95)</x:f>
        <x:v>2023</x:v>
      </x:c>
      <x:c r="U95" s="15" t="n">
        <x:f>ROUNDUP(MONTH(A95)/3,0)</x:f>
        <x:v>3</x:v>
      </x:c>
      <x:c r="V95" s="18" t="n">
        <x:f>I95-J95</x:f>
        <x:v>44500.32000000001</x:v>
      </x:c>
      <x:c r="W95" s="19" t="n">
        <x:f>IF(I95=0,"",V95/I95)</x:f>
        <x:v>0.47806888203267844</x:v>
      </x:c>
      <x:c r="X95" s="18" t="n">
        <x:f>I95-J95-K95-L95-M95</x:f>
        <x:v>38170.65000000001</x:v>
      </x:c>
      <x:c r="Y95" s="19" t="n">
        <x:f>IF(I95=0,"",X95/I95)</x:f>
        <x:v>0.4100689606717583</x:v>
      </x:c>
      <x:c r="Z95" s="18" t="n">
        <x:f>IF(E95=0,"",F95/E95)</x:f>
        <x:v>1157.1886904761905</x:v>
      </x:c>
      <x:c r="AA95" s="18" t="n">
        <x:f>IF(N95=0,"",M95/N95)</x:f>
        <x:v>69.8125</x:v>
      </x:c>
      <x:c r="AB95" s="19" t="n">
        <x:f>IF(E95=0,"",O95/E95)</x:f>
        <x:v>0.07142857142857142</x:v>
      </x:c>
      <x:c r="AC95" s="19" t="n">
        <x:f>IF(E95=0,"",P95/E95)</x:f>
        <x:v>0.023809523809523808</x:v>
      </x:c>
      <x:c r="AD95" s="20" t="n">
        <x:f>IF(Q95=0,"",100*(R95-S95)/Q95)</x:f>
        <x:v>59.25925925925926</x:v>
      </x:c>
      <x:c r="AE95" s="19" t="n">
        <x:f>IF(F95=0,"",G95/F95)</x:f>
        <x:v>0.028888876315084227</x:v>
      </x:c>
      <x:c r="AF95" s="18" t="n">
        <x:f>ROUND(I95-(F95-G95-H95),2)</x:f>
        <x:v>0</x:v>
      </x:c>
    </x:row>
    <x:row r="96" ht="24" customHeight="1">
      <x:c r="A96" s="14" t="n">
        <x:v>45139</x:v>
      </x:c>
      <x:c r="B96" s="2" t="str">
        <x:v>Lojas</x:v>
      </x:c>
      <x:c r="C96" s="2" t="str">
        <x:v>Sul</x:v>
      </x:c>
      <x:c r="D96" s="2" t="str">
        <x:v>M-0091</x:v>
      </x:c>
      <x:c r="E96" s="16" t="n">
        <x:v>62</x:v>
      </x:c>
      <x:c r="F96" s="17" t="n">
        <x:v>72249.15</x:v>
      </x:c>
      <x:c r="G96" s="17" t="n">
        <x:v>2087.2</x:v>
      </x:c>
      <x:c r="H96" s="17" t="n">
        <x:v>975.36</x:v>
      </x:c>
      <x:c r="I96" s="17" t="n">
        <x:v>69186.59</x:v>
      </x:c>
      <x:c r="J96" s="17" t="n">
        <x:v>38129.27</x:v>
      </x:c>
      <x:c r="K96" s="17" t="n">
        <x:v>1798.85</x:v>
      </x:c>
      <x:c r="L96" s="17" t="n">
        <x:v>1660.48</x:v>
      </x:c>
      <x:c r="M96" s="17" t="n">
        <x:v>1245.36</x:v>
      </x:c>
      <x:c r="N96" s="16" t="n">
        <x:v>17</x:v>
      </x:c>
      <x:c r="O96" s="16" t="n">
        <x:v>4</x:v>
      </x:c>
      <x:c r="P96" s="16" t="n">
        <x:v>1</x:v>
      </x:c>
      <x:c r="Q96" s="16" t="n">
        <x:v>20</x:v>
      </x:c>
      <x:c r="R96" s="16" t="n">
        <x:v>14</x:v>
      </x:c>
      <x:c r="S96" s="16" t="n">
        <x:v>3</x:v>
      </x:c>
      <x:c r="T96" s="15" t="n">
        <x:f>YEAR(A96)</x:f>
        <x:v>2023</x:v>
      </x:c>
      <x:c r="U96" s="15" t="n">
        <x:f>ROUNDUP(MONTH(A96)/3,0)</x:f>
        <x:v>3</x:v>
      </x:c>
      <x:c r="V96" s="18" t="n">
        <x:f>I96-J96</x:f>
        <x:v>31057.32</x:v>
      </x:c>
      <x:c r="W96" s="19" t="n">
        <x:f>IF(I96=0,"",V96/I96)</x:f>
        <x:v>0.4488921913914243</x:v>
      </x:c>
      <x:c r="X96" s="18" t="n">
        <x:f>I96-J96-K96-L96-M96</x:f>
        <x:v>26352.63</x:v>
      </x:c>
      <x:c r="Y96" s="19" t="n">
        <x:f>IF(I96=0,"",X96/I96)</x:f>
        <x:v>0.3808921642185285</x:v>
      </x:c>
      <x:c r="Z96" s="18" t="n">
        <x:f>IF(E96=0,"",F96/E96)</x:f>
        <x:v>1165.3088709677418</x:v>
      </x:c>
      <x:c r="AA96" s="18" t="n">
        <x:f>IF(N96=0,"",M96/N96)</x:f>
        <x:v>73.25647058823529</x:v>
      </x:c>
      <x:c r="AB96" s="19" t="n">
        <x:f>IF(E96=0,"",O96/E96)</x:f>
        <x:v>0.06451612903225806</x:v>
      </x:c>
      <x:c r="AC96" s="19" t="n">
        <x:f>IF(E96=0,"",P96/E96)</x:f>
        <x:v>0.016129032258064516</x:v>
      </x:c>
      <x:c r="AD96" s="20" t="n">
        <x:f>IF(Q96=0,"",100*(R96-S96)/Q96)</x:f>
        <x:v>55</x:v>
      </x:c>
      <x:c r="AE96" s="19" t="n">
        <x:f>IF(F96=0,"",G96/F96)</x:f>
        <x:v>0.02888892118453989</x:v>
      </x:c>
      <x:c r="AF96" s="18" t="n">
        <x:f>ROUND(I96-(F96-G96-H96),2)</x:f>
        <x:v>0</x:v>
      </x:c>
    </x:row>
    <x:row r="97" ht="24" customHeight="1">
      <x:c r="A97" s="14" t="n">
        <x:v>45139</x:v>
      </x:c>
      <x:c r="B97" s="2" t="str">
        <x:v>Lojas</x:v>
      </x:c>
      <x:c r="C97" s="2" t="str">
        <x:v>Centro-Oeste</x:v>
      </x:c>
      <x:c r="D97" s="2" t="str">
        <x:v>M-0092</x:v>
      </x:c>
      <x:c r="E97" s="16" t="n">
        <x:v>51</x:v>
      </x:c>
      <x:c r="F97" s="17" t="n">
        <x:v>59741.77</x:v>
      </x:c>
      <x:c r="G97" s="17" t="n">
        <x:v>1725.87</x:v>
      </x:c>
      <x:c r="H97" s="17" t="n">
        <x:v>806.51</x:v>
      </x:c>
      <x:c r="I97" s="17" t="n">
        <x:v>57209.39</x:v>
      </x:c>
      <x:c r="J97" s="17" t="n">
        <x:v>30845.81</x:v>
      </x:c>
      <x:c r="K97" s="17" t="n">
        <x:v>1487.44</x:v>
      </x:c>
      <x:c r="L97" s="17" t="n">
        <x:v>1373.03</x:v>
      </x:c>
      <x:c r="M97" s="17" t="n">
        <x:v>1029.77</x:v>
      </x:c>
      <x:c r="N97" s="16" t="n">
        <x:v>14</x:v>
      </x:c>
      <x:c r="O97" s="16" t="n">
        <x:v>3</x:v>
      </x:c>
      <x:c r="P97" s="16" t="n">
        <x:v>1</x:v>
      </x:c>
      <x:c r="Q97" s="16" t="n">
        <x:v>16</x:v>
      </x:c>
      <x:c r="R97" s="16" t="n">
        <x:v>11</x:v>
      </x:c>
      <x:c r="S97" s="16" t="n">
        <x:v>2</x:v>
      </x:c>
      <x:c r="T97" s="15" t="n">
        <x:f>YEAR(A97)</x:f>
        <x:v>2023</x:v>
      </x:c>
      <x:c r="U97" s="15" t="n">
        <x:f>ROUNDUP(MONTH(A97)/3,0)</x:f>
        <x:v>3</x:v>
      </x:c>
      <x:c r="V97" s="18" t="n">
        <x:f>I97-J97</x:f>
        <x:v>26363.579999999998</x:v>
      </x:c>
      <x:c r="W97" s="19" t="n">
        <x:f>IF(I97=0,"",V97/I97)</x:f>
        <x:v>0.4608260986526862</x:v>
      </x:c>
      <x:c r="X97" s="18" t="n">
        <x:f>I97-J97-K97-L97-M97</x:f>
        <x:v>22473.34</x:v>
      </x:c>
      <x:c r="Y97" s="19" t="n">
        <x:f>IF(I97=0,"",X97/I97)</x:f>
        <x:v>0.3928260727828072</x:v>
      </x:c>
      <x:c r="Z97" s="18" t="n">
        <x:f>IF(E97=0,"",F97/E97)</x:f>
        <x:v>1171.4072549019606</x:v>
      </x:c>
      <x:c r="AA97" s="18" t="n">
        <x:f>IF(N97=0,"",M97/N97)</x:f>
        <x:v>73.55499999999999</x:v>
      </x:c>
      <x:c r="AB97" s="19" t="n">
        <x:f>IF(E97=0,"",O97/E97)</x:f>
        <x:v>0.058823529411764705</x:v>
      </x:c>
      <x:c r="AC97" s="19" t="n">
        <x:f>IF(E97=0,"",P97/E97)</x:f>
        <x:v>0.0196078431372549</x:v>
      </x:c>
      <x:c r="AD97" s="20" t="n">
        <x:f>IF(Q97=0,"",100*(R97-S97)/Q97)</x:f>
        <x:v>56.25</x:v>
      </x:c>
      <x:c r="AE97" s="19" t="n">
        <x:f>IF(F97=0,"",G97/F97)</x:f>
        <x:v>0.028888832721226707</x:v>
      </x:c>
      <x:c r="AF97" s="18" t="n">
        <x:f>ROUND(I97-(F97-G97-H97),2)</x:f>
        <x:v>0</x:v>
      </x:c>
    </x:row>
    <x:row r="98" ht="24" customHeight="1">
      <x:c r="A98" s="14" t="n">
        <x:v>45139</x:v>
      </x:c>
      <x:c r="B98" s="2" t="str">
        <x:v>B2B</x:v>
      </x:c>
      <x:c r="C98" s="2" t="str">
        <x:v>Sudeste</x:v>
      </x:c>
      <x:c r="D98" s="2" t="str">
        <x:v>M-0093</x:v>
      </x:c>
      <x:c r="E98" s="16" t="n">
        <x:v>74</x:v>
      </x:c>
      <x:c r="F98" s="17" t="n">
        <x:v>86258.31</x:v>
      </x:c>
      <x:c r="G98" s="17" t="n">
        <x:v>2491.91</x:v>
      </x:c>
      <x:c r="H98" s="17" t="n">
        <x:v>1164.49</x:v>
      </x:c>
      <x:c r="I98" s="17" t="n">
        <x:v>82601.91</x:v>
      </x:c>
      <x:c r="J98" s="17" t="n">
        <x:v>46005.89</x:v>
      </x:c>
      <x:c r="K98" s="17" t="n">
        <x:v>2147.65</x:v>
      </x:c>
      <x:c r="L98" s="17" t="n">
        <x:v>1982.45</x:v>
      </x:c>
      <x:c r="M98" s="17" t="n">
        <x:v>1486.83</x:v>
      </x:c>
      <x:c r="N98" s="16" t="n">
        <x:v>21</x:v>
      </x:c>
      <x:c r="O98" s="16" t="n">
        <x:v>5</x:v>
      </x:c>
      <x:c r="P98" s="16" t="n">
        <x:v>2</x:v>
      </x:c>
      <x:c r="Q98" s="16" t="n">
        <x:v>24</x:v>
      </x:c>
      <x:c r="R98" s="16" t="n">
        <x:v>17</x:v>
      </x:c>
      <x:c r="S98" s="16" t="n">
        <x:v>3</x:v>
      </x:c>
      <x:c r="T98" s="15" t="n">
        <x:f>YEAR(A98)</x:f>
        <x:v>2023</x:v>
      </x:c>
      <x:c r="U98" s="15" t="n">
        <x:f>ROUNDUP(MONTH(A98)/3,0)</x:f>
        <x:v>3</x:v>
      </x:c>
      <x:c r="V98" s="18" t="n">
        <x:f>I98-J98</x:f>
        <x:v>36596.020000000004</x:v>
      </x:c>
      <x:c r="W98" s="19" t="n">
        <x:f>IF(I98=0,"",V98/I98)</x:f>
        <x:v>0.44304084493929985</x:v>
      </x:c>
      <x:c r="X98" s="18" t="n">
        <x:f>I98-J98-K98-L98-M98</x:f>
        <x:v>30979.090000000004</x:v>
      </x:c>
      <x:c r="Y98" s="19" t="n">
        <x:f>IF(I98=0,"",X98/I98)</x:f>
        <x:v>0.3750408434865489</x:v>
      </x:c>
      <x:c r="Z98" s="18" t="n">
        <x:f>IF(E98=0,"",F98/E98)</x:f>
        <x:v>1165.6528378378378</x:v>
      </x:c>
      <x:c r="AA98" s="18" t="n">
        <x:f>IF(N98=0,"",M98/N98)</x:f>
        <x:v>70.80142857142857</x:v>
      </x:c>
      <x:c r="AB98" s="19" t="n">
        <x:f>IF(E98=0,"",O98/E98)</x:f>
        <x:v>0.06756756756756757</x:v>
      </x:c>
      <x:c r="AC98" s="19" t="n">
        <x:f>IF(E98=0,"",P98/E98)</x:f>
        <x:v>0.02702702702702703</x:v>
      </x:c>
      <x:c r="AD98" s="20" t="n">
        <x:f>IF(Q98=0,"",100*(R98-S98)/Q98)</x:f>
        <x:v>58.333333333333336</x:v>
      </x:c>
      <x:c r="AE98" s="19" t="n">
        <x:f>IF(F98=0,"",G98/F98)</x:f>
        <x:v>0.02888892675963626</x:v>
      </x:c>
      <x:c r="AF98" s="18" t="n">
        <x:f>ROUND(I98-(F98-G98-H98),2)</x:f>
        <x:v>0</x:v>
      </x:c>
    </x:row>
    <x:row r="99" ht="24" customHeight="1">
      <x:c r="A99" s="14" t="n">
        <x:v>45139</x:v>
      </x:c>
      <x:c r="B99" s="2" t="str">
        <x:v>B2B</x:v>
      </x:c>
      <x:c r="C99" s="2" t="str">
        <x:v>Nordeste</x:v>
      </x:c>
      <x:c r="D99" s="2" t="str">
        <x:v>M-0094</x:v>
      </x:c>
      <x:c r="E99" s="16" t="n">
        <x:v>52</x:v>
      </x:c>
      <x:c r="F99" s="17" t="n">
        <x:v>60344.06</x:v>
      </x:c>
      <x:c r="G99" s="17" t="n">
        <x:v>1743.27</x:v>
      </x:c>
      <x:c r="H99" s="17" t="n">
        <x:v>814.64</x:v>
      </x:c>
      <x:c r="I99" s="17" t="n">
        <x:v>57786.15</x:v>
      </x:c>
      <x:c r="J99" s="17" t="n">
        <x:v>29600.26</x:v>
      </x:c>
      <x:c r="K99" s="17" t="n">
        <x:v>1502.44</x:v>
      </x:c>
      <x:c r="L99" s="17" t="n">
        <x:v>1386.87</x:v>
      </x:c>
      <x:c r="M99" s="17" t="n">
        <x:v>1040.15</x:v>
      </x:c>
      <x:c r="N99" s="16" t="n">
        <x:v>15</x:v>
      </x:c>
      <x:c r="O99" s="16" t="n">
        <x:v>4</x:v>
      </x:c>
      <x:c r="P99" s="16" t="n">
        <x:v>1</x:v>
      </x:c>
      <x:c r="Q99" s="16" t="n">
        <x:v>17</x:v>
      </x:c>
      <x:c r="R99" s="16" t="n">
        <x:v>12</x:v>
      </x:c>
      <x:c r="S99" s="16" t="n">
        <x:v>2</x:v>
      </x:c>
      <x:c r="T99" s="15" t="n">
        <x:f>YEAR(A99)</x:f>
        <x:v>2023</x:v>
      </x:c>
      <x:c r="U99" s="15" t="n">
        <x:f>ROUNDUP(MONTH(A99)/3,0)</x:f>
        <x:v>3</x:v>
      </x:c>
      <x:c r="V99" s="18" t="n">
        <x:f>I99-J99</x:f>
        <x:v>28185.890000000003</x:v>
      </x:c>
      <x:c r="W99" s="19" t="n">
        <x:f>IF(I99=0,"",V99/I99)</x:f>
        <x:v>0.4877620329438802</x:v>
      </x:c>
      <x:c r="X99" s="18" t="n">
        <x:f>I99-J99-K99-L99-M99</x:f>
        <x:v>24256.430000000004</x:v>
      </x:c>
      <x:c r="Y99" s="19" t="n">
        <x:f>IF(I99=0,"",X99/I99)</x:f>
        <x:v>0.4197620017945477</x:v>
      </x:c>
      <x:c r="Z99" s="18" t="n">
        <x:f>IF(E99=0,"",F99/E99)</x:f>
        <x:v>1160.4626923076924</x:v>
      </x:c>
      <x:c r="AA99" s="18" t="n">
        <x:f>IF(N99=0,"",M99/N99)</x:f>
        <x:v>69.34333333333333</x:v>
      </x:c>
      <x:c r="AB99" s="19" t="n">
        <x:f>IF(E99=0,"",O99/E99)</x:f>
        <x:v>0.07692307692307693</x:v>
      </x:c>
      <x:c r="AC99" s="19" t="n">
        <x:f>IF(E99=0,"",P99/E99)</x:f>
        <x:v>0.019230769230769232</x:v>
      </x:c>
      <x:c r="AD99" s="20" t="n">
        <x:f>IF(Q99=0,"",100*(R99-S99)/Q99)</x:f>
        <x:v>58.8235294117647</x:v>
      </x:c>
      <x:c r="AE99" s="19" t="n">
        <x:f>IF(F99=0,"",G99/F99)</x:f>
        <x:v>0.028888841751781368</x:v>
      </x:c>
      <x:c r="AF99" s="18" t="n">
        <x:f>ROUND(I99-(F99-G99-H99),2)</x:f>
        <x:v>0</x:v>
      </x:c>
    </x:row>
    <x:row r="100" ht="24" customHeight="1">
      <x:c r="A100" s="14" t="n">
        <x:v>45139</x:v>
      </x:c>
      <x:c r="B100" s="2" t="str">
        <x:v>B2B</x:v>
      </x:c>
      <x:c r="C100" s="2" t="str">
        <x:v>Sul</x:v>
      </x:c>
      <x:c r="D100" s="2" t="str">
        <x:v>M-0095</x:v>
      </x:c>
      <x:c r="E100" s="16" t="n">
        <x:v>46</x:v>
      </x:c>
      <x:c r="F100" s="17" t="n">
        <x:v>53517.79</x:v>
      </x:c>
      <x:c r="G100" s="17" t="n">
        <x:v>1546.07</x:v>
      </x:c>
      <x:c r="H100" s="17" t="n">
        <x:v>722.49</x:v>
      </x:c>
      <x:c r="I100" s="17" t="n">
        <x:v>51249.23</x:v>
      </x:c>
      <x:c r="J100" s="17" t="n">
        <x:v>27138.89</x:v>
      </x:c>
      <x:c r="K100" s="17" t="n">
        <x:v>1332.48</x:v>
      </x:c>
      <x:c r="L100" s="17" t="n">
        <x:v>1229.98</x:v>
      </x:c>
      <x:c r="M100" s="17" t="n">
        <x:v>922.49</x:v>
      </x:c>
      <x:c r="N100" s="16" t="n">
        <x:v>13</x:v>
      </x:c>
      <x:c r="O100" s="16" t="n">
        <x:v>3</x:v>
      </x:c>
      <x:c r="P100" s="16" t="n">
        <x:v>1</x:v>
      </x:c>
      <x:c r="Q100" s="16" t="n">
        <x:v>15</x:v>
      </x:c>
      <x:c r="R100" s="16" t="n">
        <x:v>10</x:v>
      </x:c>
      <x:c r="S100" s="16" t="n">
        <x:v>2</x:v>
      </x:c>
      <x:c r="T100" s="15" t="n">
        <x:f>YEAR(A100)</x:f>
        <x:v>2023</x:v>
      </x:c>
      <x:c r="U100" s="15" t="n">
        <x:f>ROUNDUP(MONTH(A100)/3,0)</x:f>
        <x:v>3</x:v>
      </x:c>
      <x:c r="V100" s="18" t="n">
        <x:f>I100-J100</x:f>
        <x:v>24110.340000000004</x:v>
      </x:c>
      <x:c r="W100" s="19" t="n">
        <x:f>IF(I100=0,"",V100/I100)</x:f>
        <x:v>0.47045272680194417</x:v>
      </x:c>
      <x:c r="X100" s="18" t="n">
        <x:f>I100-J100-K100-L100-M100</x:f>
        <x:v>20625.390000000003</x:v>
      </x:c>
      <x:c r="Y100" s="19" t="n">
        <x:f>IF(I100=0,"",X100/I100)</x:f>
        <x:v>0.4024526807524718</x:v>
      </x:c>
      <x:c r="Z100" s="18" t="n">
        <x:f>IF(E100=0,"",F100/E100)</x:f>
        <x:v>1163.4302173913043</x:v>
      </x:c>
      <x:c r="AA100" s="18" t="n">
        <x:f>IF(N100=0,"",M100/N100)</x:f>
        <x:v>70.96076923076923</x:v>
      </x:c>
      <x:c r="AB100" s="19" t="n">
        <x:f>IF(E100=0,"",O100/E100)</x:f>
        <x:v>0.06521739130434782</x:v>
      </x:c>
      <x:c r="AC100" s="19" t="n">
        <x:f>IF(E100=0,"",P100/E100)</x:f>
        <x:v>0.021739130434782608</x:v>
      </x:c>
      <x:c r="AD100" s="20" t="n">
        <x:f>IF(Q100=0,"",100*(R100-S100)/Q100)</x:f>
        <x:v>53.333333333333336</x:v>
      </x:c>
      <x:c r="AE100" s="19" t="n">
        <x:f>IF(F100=0,"",G100/F100)</x:f>
        <x:v>0.0288888984391919</x:v>
      </x:c>
      <x:c r="AF100" s="18" t="n">
        <x:f>ROUND(I100-(F100-G100-H100),2)</x:f>
        <x:v>0</x:v>
      </x:c>
    </x:row>
    <x:row r="101" ht="24" customHeight="1">
      <x:c r="A101" s="14" t="n">
        <x:v>45139</x:v>
      </x:c>
      <x:c r="B101" s="2" t="str">
        <x:v>B2B</x:v>
      </x:c>
      <x:c r="C101" s="2" t="str">
        <x:v>Centro-Oeste</x:v>
      </x:c>
      <x:c r="D101" s="2" t="str">
        <x:v>M-0096</x:v>
      </x:c>
      <x:c r="E101" s="16" t="n">
        <x:v>31</x:v>
      </x:c>
      <x:c r="F101" s="17" t="n">
        <x:v>36338.35</x:v>
      </x:c>
      <x:c r="G101" s="17" t="n">
        <x:v>1049.77</x:v>
      </x:c>
      <x:c r="H101" s="17" t="n">
        <x:v>490.57</x:v>
      </x:c>
      <x:c r="I101" s="17" t="n">
        <x:v>34798.01</x:v>
      </x:c>
      <x:c r="J101" s="17" t="n">
        <x:v>19364.53</x:v>
      </x:c>
      <x:c r="K101" s="17" t="n">
        <x:v>904.75</x:v>
      </x:c>
      <x:c r="L101" s="17" t="n">
        <x:v>835.15</x:v>
      </x:c>
      <x:c r="M101" s="17" t="n">
        <x:v>626.36</x:v>
      </x:c>
      <x:c r="N101" s="16" t="n">
        <x:v>9</x:v>
      </x:c>
      <x:c r="O101" s="16" t="n">
        <x:v>2</x:v>
      </x:c>
      <x:c r="P101" s="16" t="n">
        <x:v>1</x:v>
      </x:c>
      <x:c r="Q101" s="16" t="n">
        <x:v>10</x:v>
      </x:c>
      <x:c r="R101" s="16" t="n">
        <x:v>7</x:v>
      </x:c>
      <x:c r="S101" s="16" t="n">
        <x:v>1</x:v>
      </x:c>
      <x:c r="T101" s="15" t="n">
        <x:f>YEAR(A101)</x:f>
        <x:v>2023</x:v>
      </x:c>
      <x:c r="U101" s="15" t="n">
        <x:f>ROUNDUP(MONTH(A101)/3,0)</x:f>
        <x:v>3</x:v>
      </x:c>
      <x:c r="V101" s="18" t="n">
        <x:f>I101-J101</x:f>
        <x:v>15433.480000000003</x:v>
      </x:c>
      <x:c r="W101" s="19" t="n">
        <x:f>IF(I101=0,"",V101/I101)</x:f>
        <x:v>0.4435161665853881</x:v>
      </x:c>
      <x:c r="X101" s="18" t="n">
        <x:f>I101-J101-K101-L101-M101</x:f>
        <x:v>13067.220000000003</x:v>
      </x:c>
      <x:c r="Y101" s="19" t="n">
        <x:f>IF(I101=0,"",X101/I101)</x:f>
        <x:v>0.37551630107583744</x:v>
      </x:c>
      <x:c r="Z101" s="18" t="n">
        <x:f>IF(E101=0,"",F101/E101)</x:f>
        <x:v>1172.2048387096775</x:v>
      </x:c>
      <x:c r="AA101" s="18" t="n">
        <x:f>IF(N101=0,"",M101/N101)</x:f>
        <x:v>69.59555555555556</x:v>
      </x:c>
      <x:c r="AB101" s="19" t="n">
        <x:f>IF(E101=0,"",O101/E101)</x:f>
        <x:v>0.06451612903225806</x:v>
      </x:c>
      <x:c r="AC101" s="19" t="n">
        <x:f>IF(E101=0,"",P101/E101)</x:f>
        <x:v>0.03225806451612903</x:v>
      </x:c>
      <x:c r="AD101" s="20" t="n">
        <x:f>IF(Q101=0,"",100*(R101-S101)/Q101)</x:f>
        <x:v>60</x:v>
      </x:c>
      <x:c r="AE101" s="19" t="n">
        <x:f>IF(F101=0,"",G101/F101)</x:f>
        <x:v>0.02888876352393546</x:v>
      </x:c>
      <x:c r="AF101" s="18" t="n">
        <x:f>ROUND(I101-(F101-G101-H101),2)</x:f>
        <x:v>0</x:v>
      </x:c>
    </x:row>
    <x:row r="102" ht="24" customHeight="1">
      <x:c r="A102" s="14" t="n">
        <x:v>45170</x:v>
      </x:c>
      <x:c r="B102" s="2" t="str">
        <x:v>E-commerce</x:v>
      </x:c>
      <x:c r="C102" s="2" t="str">
        <x:v>Sudeste</x:v>
      </x:c>
      <x:c r="D102" s="2" t="str">
        <x:v>M-0097</x:v>
      </x:c>
      <x:c r="E102" s="16" t="n">
        <x:v>163</x:v>
      </x:c>
      <x:c r="F102" s="17" t="n">
        <x:v>189371.25</x:v>
      </x:c>
      <x:c r="G102" s="17" t="n">
        <x:v>5575.93</x:v>
      </x:c>
      <x:c r="H102" s="17" t="n">
        <x:v>2651.2</x:v>
      </x:c>
      <x:c r="I102" s="17" t="n">
        <x:v>181144.12</x:v>
      </x:c>
      <x:c r="J102" s="17" t="n">
        <x:v>101325.78</x:v>
      </x:c>
      <x:c r="K102" s="17" t="n">
        <x:v>8694.92</x:v>
      </x:c>
      <x:c r="L102" s="17" t="n">
        <x:v>4347.46</x:v>
      </x:c>
      <x:c r="M102" s="17" t="n">
        <x:v>13585.81</x:v>
      </x:c>
      <x:c r="N102" s="16" t="n">
        <x:v>85</x:v>
      </x:c>
      <x:c r="O102" s="16" t="n">
        <x:v>12</x:v>
      </x:c>
      <x:c r="P102" s="16" t="n">
        <x:v>4</x:v>
      </x:c>
      <x:c r="Q102" s="16" t="n">
        <x:v>52</x:v>
      </x:c>
      <x:c r="R102" s="16" t="n">
        <x:v>36</x:v>
      </x:c>
      <x:c r="S102" s="16" t="n">
        <x:v>7</x:v>
      </x:c>
      <x:c r="T102" s="15" t="n">
        <x:f>YEAR(A102)</x:f>
        <x:v>2023</x:v>
      </x:c>
      <x:c r="U102" s="15" t="n">
        <x:f>ROUNDUP(MONTH(A102)/3,0)</x:f>
        <x:v>3</x:v>
      </x:c>
      <x:c r="V102" s="18" t="n">
        <x:f>I102-J102</x:f>
        <x:v>79818.34</x:v>
      </x:c>
      <x:c r="W102" s="19" t="n">
        <x:f>IF(I102=0,"",V102/I102)</x:f>
        <x:v>0.44063445172827026</x:v>
      </x:c>
      <x:c r="X102" s="18" t="n">
        <x:f>I102-J102-K102-L102-M102</x:f>
        <x:v>53190.149999999994</x:v>
      </x:c>
      <x:c r="Y102" s="19" t="n">
        <x:f>IF(I102=0,"",X102/I102)</x:f>
        <x:v>0.2936344276590374</x:v>
      </x:c>
      <x:c r="Z102" s="18" t="n">
        <x:f>IF(E102=0,"",F102/E102)</x:f>
        <x:v>1161.7868098159508</x:v>
      </x:c>
      <x:c r="AA102" s="18" t="n">
        <x:f>IF(N102=0,"",M102/N102)</x:f>
        <x:v>159.8330588235294</x:v>
      </x:c>
      <x:c r="AB102" s="19" t="n">
        <x:f>IF(E102=0,"",O102/E102)</x:f>
        <x:v>0.0736196319018405</x:v>
      </x:c>
      <x:c r="AC102" s="19" t="n">
        <x:f>IF(E102=0,"",P102/E102)</x:f>
        <x:v>0.024539877300613498</x:v>
      </x:c>
      <x:c r="AD102" s="20" t="n">
        <x:f>IF(Q102=0,"",100*(R102-S102)/Q102)</x:f>
        <x:v>55.76923076923077</x:v>
      </x:c>
      <x:c r="AE102" s="19" t="n">
        <x:f>IF(F102=0,"",G102/F102)</x:f>
        <x:v>0.02944443784365367</x:v>
      </x:c>
      <x:c r="AF102" s="18" t="n">
        <x:f>ROUND(I102-(F102-G102-H102),2)</x:f>
        <x:v>0</x:v>
      </x:c>
    </x:row>
    <x:row r="103" ht="24" customHeight="1">
      <x:c r="A103" s="14" t="n">
        <x:v>45170</x:v>
      </x:c>
      <x:c r="B103" s="2" t="str">
        <x:v>E-commerce</x:v>
      </x:c>
      <x:c r="C103" s="2" t="str">
        <x:v>Nordeste</x:v>
      </x:c>
      <x:c r="D103" s="2" t="str">
        <x:v>M-0098</x:v>
      </x:c>
      <x:c r="E103" s="16" t="n">
        <x:v>104</x:v>
      </x:c>
      <x:c r="F103" s="17" t="n">
        <x:v>121367.16</x:v>
      </x:c>
      <x:c r="G103" s="17" t="n">
        <x:v>3573.59</x:v>
      </x:c>
      <x:c r="H103" s="17" t="n">
        <x:v>1699.14</x:v>
      </x:c>
      <x:c r="I103" s="17" t="n">
        <x:v>116094.43</x:v>
      </x:c>
      <x:c r="J103" s="17" t="n">
        <x:v>59592.95</x:v>
      </x:c>
      <x:c r="K103" s="17" t="n">
        <x:v>5572.53</x:v>
      </x:c>
      <x:c r="L103" s="17" t="n">
        <x:v>2786.27</x:v>
      </x:c>
      <x:c r="M103" s="17" t="n">
        <x:v>8707.08</x:v>
      </x:c>
      <x:c r="N103" s="16" t="n">
        <x:v>54</x:v>
      </x:c>
      <x:c r="O103" s="16" t="n">
        <x:v>7</x:v>
      </x:c>
      <x:c r="P103" s="16" t="n">
        <x:v>2</x:v>
      </x:c>
      <x:c r="Q103" s="16" t="n">
        <x:v>33</x:v>
      </x:c>
      <x:c r="R103" s="16" t="n">
        <x:v>23</x:v>
      </x:c>
      <x:c r="S103" s="16" t="n">
        <x:v>4</x:v>
      </x:c>
      <x:c r="T103" s="15" t="n">
        <x:f>YEAR(A103)</x:f>
        <x:v>2023</x:v>
      </x:c>
      <x:c r="U103" s="15" t="n">
        <x:f>ROUNDUP(MONTH(A103)/3,0)</x:f>
        <x:v>3</x:v>
      </x:c>
      <x:c r="V103" s="18" t="n">
        <x:f>I103-J103</x:f>
        <x:v>56501.479999999996</x:v>
      </x:c>
      <x:c r="W103" s="19" t="n">
        <x:f>IF(I103=0,"",V103/I103)</x:f>
        <x:v>0.4866855369374741</x:v>
      </x:c>
      <x:c r="X103" s="18" t="n">
        <x:f>I103-J103-K103-L103-M103</x:f>
        <x:v>39435.6</x:v>
      </x:c>
      <x:c r="Y103" s="19" t="n">
        <x:f>IF(I103=0,"",X103/I103)</x:f>
        <x:v>0.3396855473600241</x:v>
      </x:c>
      <x:c r="Z103" s="18" t="n">
        <x:f>IF(E103=0,"",F103/E103)</x:f>
        <x:v>1166.991923076923</x:v>
      </x:c>
      <x:c r="AA103" s="18" t="n">
        <x:f>IF(N103=0,"",M103/N103)</x:f>
        <x:v>161.2422222222222</x:v>
      </x:c>
      <x:c r="AB103" s="19" t="n">
        <x:f>IF(E103=0,"",O103/E103)</x:f>
        <x:v>0.0673076923076923</x:v>
      </x:c>
      <x:c r="AC103" s="19" t="n">
        <x:f>IF(E103=0,"",P103/E103)</x:f>
        <x:v>0.019230769230769232</x:v>
      </x:c>
      <x:c r="AD103" s="20" t="n">
        <x:f>IF(Q103=0,"",100*(R103-S103)/Q103)</x:f>
        <x:v>57.57575757575758</x:v>
      </x:c>
      <x:c r="AE103" s="19" t="n">
        <x:f>IF(F103=0,"",G103/F103)</x:f>
        <x:v>0.02944445597969006</x:v>
      </x:c>
      <x:c r="AF103" s="18" t="n">
        <x:f>ROUND(I103-(F103-G103-H103),2)</x:f>
        <x:v>0</x:v>
      </x:c>
    </x:row>
    <x:row r="104" ht="24" customHeight="1">
      <x:c r="A104" s="14" t="n">
        <x:v>45170</x:v>
      </x:c>
      <x:c r="B104" s="2" t="str">
        <x:v>E-commerce</x:v>
      </x:c>
      <x:c r="C104" s="2" t="str">
        <x:v>Sul</x:v>
      </x:c>
      <x:c r="D104" s="2" t="str">
        <x:v>M-0099</x:v>
      </x:c>
      <x:c r="E104" s="16" t="n">
        <x:v>81</x:v>
      </x:c>
      <x:c r="F104" s="17" t="n">
        <x:v>94109.35</x:v>
      </x:c>
      <x:c r="G104" s="17" t="n">
        <x:v>2771</x:v>
      </x:c>
      <x:c r="H104" s="17" t="n">
        <x:v>1317.53</x:v>
      </x:c>
      <x:c r="I104" s="17" t="n">
        <x:v>90020.82</x:v>
      </x:c>
      <x:c r="J104" s="17" t="n">
        <x:v>47249.48</x:v>
      </x:c>
      <x:c r="K104" s="17" t="n">
        <x:v>4321</x:v>
      </x:c>
      <x:c r="L104" s="17" t="n">
        <x:v>2160.5</x:v>
      </x:c>
      <x:c r="M104" s="17" t="n">
        <x:v>6751.56</x:v>
      </x:c>
      <x:c r="N104" s="16" t="n">
        <x:v>42</x:v>
      </x:c>
      <x:c r="O104" s="16" t="n">
        <x:v>6</x:v>
      </x:c>
      <x:c r="P104" s="16" t="n">
        <x:v>2</x:v>
      </x:c>
      <x:c r="Q104" s="16" t="n">
        <x:v>26</x:v>
      </x:c>
      <x:c r="R104" s="16" t="n">
        <x:v>18</x:v>
      </x:c>
      <x:c r="S104" s="16" t="n">
        <x:v>3</x:v>
      </x:c>
      <x:c r="T104" s="15" t="n">
        <x:f>YEAR(A104)</x:f>
        <x:v>2023</x:v>
      </x:c>
      <x:c r="U104" s="15" t="n">
        <x:f>ROUNDUP(MONTH(A104)/3,0)</x:f>
        <x:v>3</x:v>
      </x:c>
      <x:c r="V104" s="18" t="n">
        <x:f>I104-J104</x:f>
        <x:v>42771.340000000004</x:v>
      </x:c>
      <x:c r="W104" s="19" t="n">
        <x:f>IF(I104=0,"",V104/I104)</x:f>
        <x:v>0.4751271983525589</x:v>
      </x:c>
      <x:c r="X104" s="18" t="n">
        <x:f>I104-J104-K104-L104-M104</x:f>
        <x:v>29538.280000000002</x:v>
      </x:c>
      <x:c r="Y104" s="19" t="n">
        <x:f>IF(I104=0,"",X104/I104)</x:f>
        <x:v>0.3281272043511712</x:v>
      </x:c>
      <x:c r="Z104" s="18" t="n">
        <x:f>IF(E104=0,"",F104/E104)</x:f>
        <x:v>1161.843827160494</x:v>
      </x:c>
      <x:c r="AA104" s="18" t="n">
        <x:f>IF(N104=0,"",M104/N104)</x:f>
        <x:v>160.7514285714286</x:v>
      </x:c>
      <x:c r="AB104" s="19" t="n">
        <x:f>IF(E104=0,"",O104/E104)</x:f>
        <x:v>0.07407407407407407</x:v>
      </x:c>
      <x:c r="AC104" s="19" t="n">
        <x:f>IF(E104=0,"",P104/E104)</x:f>
        <x:v>0.024691358024691357</x:v>
      </x:c>
      <x:c r="AD104" s="20" t="n">
        <x:f>IF(Q104=0,"",100*(R104-S104)/Q104)</x:f>
        <x:v>57.69230769230769</x:v>
      </x:c>
      <x:c r="AE104" s="19" t="n">
        <x:f>IF(F104=0,"",G104/F104)</x:f>
        <x:v>0.02944447071412139</x:v>
      </x:c>
      <x:c r="AF104" s="18" t="n">
        <x:f>ROUND(I104-(F104-G104-H104),2)</x:f>
        <x:v>0</x:v>
      </x:c>
    </x:row>
    <x:row r="105" ht="24" customHeight="1">
      <x:c r="A105" s="14" t="n">
        <x:v>45170</x:v>
      </x:c>
      <x:c r="B105" s="2" t="str">
        <x:v>E-commerce</x:v>
      </x:c>
      <x:c r="C105" s="2" t="str">
        <x:v>Centro-Oeste</x:v>
      </x:c>
      <x:c r="D105" s="2" t="str">
        <x:v>M-0100</x:v>
      </x:c>
      <x:c r="E105" s="16" t="n">
        <x:v>65</x:v>
      </x:c>
      <x:c r="F105" s="17" t="n">
        <x:v>75616.36</x:v>
      </x:c>
      <x:c r="G105" s="17" t="n">
        <x:v>2226.48</x:v>
      </x:c>
      <x:c r="H105" s="17" t="n">
        <x:v>1058.63</x:v>
      </x:c>
      <x:c r="I105" s="17" t="n">
        <x:v>72331.25</x:v>
      </x:c>
      <x:c r="J105" s="17" t="n">
        <x:v>39962.26</x:v>
      </x:c>
      <x:c r="K105" s="17" t="n">
        <x:v>3471.9</x:v>
      </x:c>
      <x:c r="L105" s="17" t="n">
        <x:v>1735.95</x:v>
      </x:c>
      <x:c r="M105" s="17" t="n">
        <x:v>5424.84</x:v>
      </x:c>
      <x:c r="N105" s="16" t="n">
        <x:v>34</x:v>
      </x:c>
      <x:c r="O105" s="16" t="n">
        <x:v>5</x:v>
      </x:c>
      <x:c r="P105" s="16" t="n">
        <x:v>1</x:v>
      </x:c>
      <x:c r="Q105" s="16" t="n">
        <x:v>21</x:v>
      </x:c>
      <x:c r="R105" s="16" t="n">
        <x:v>15</x:v>
      </x:c>
      <x:c r="S105" s="16" t="n">
        <x:v>3</x:v>
      </x:c>
      <x:c r="T105" s="15" t="n">
        <x:f>YEAR(A105)</x:f>
        <x:v>2023</x:v>
      </x:c>
      <x:c r="U105" s="15" t="n">
        <x:f>ROUNDUP(MONTH(A105)/3,0)</x:f>
        <x:v>3</x:v>
      </x:c>
      <x:c r="V105" s="18" t="n">
        <x:f>I105-J105</x:f>
        <x:v>32368.989999999998</x:v>
      </x:c>
      <x:c r="W105" s="19" t="n">
        <x:f>IF(I105=0,"",V105/I105)</x:f>
        <x:v>0.44751044672945645</x:v>
      </x:c>
      <x:c r="X105" s="18" t="n">
        <x:f>I105-J105-K105-L105-M105</x:f>
        <x:v>21736.299999999996</x:v>
      </x:c>
      <x:c r="Y105" s="19" t="n">
        <x:f>IF(I105=0,"",X105/I105)</x:f>
        <x:v>0.30051049857426765</x:v>
      </x:c>
      <x:c r="Z105" s="18" t="n">
        <x:f>IF(E105=0,"",F105/E105)</x:f>
        <x:v>1163.3286153846154</x:v>
      </x:c>
      <x:c r="AA105" s="18" t="n">
        <x:f>IF(N105=0,"",M105/N105)</x:f>
        <x:v>159.55411764705883</x:v>
      </x:c>
      <x:c r="AB105" s="19" t="n">
        <x:f>IF(E105=0,"",O105/E105)</x:f>
        <x:v>0.07692307692307693</x:v>
      </x:c>
      <x:c r="AC105" s="19" t="n">
        <x:f>IF(E105=0,"",P105/E105)</x:f>
        <x:v>0.015384615384615385</x:v>
      </x:c>
      <x:c r="AD105" s="20" t="n">
        <x:f>IF(Q105=0,"",100*(R105-S105)/Q105)</x:f>
        <x:v>57.142857142857146</x:v>
      </x:c>
      <x:c r="AE105" s="19" t="n">
        <x:f>IF(F105=0,"",G105/F105)</x:f>
        <x:v>0.02944442181559652</x:v>
      </x:c>
      <x:c r="AF105" s="18" t="n">
        <x:f>ROUND(I105-(F105-G105-H105),2)</x:f>
        <x:v>0</x:v>
      </x:c>
    </x:row>
    <x:row r="106" ht="24" customHeight="1">
      <x:c r="A106" s="14" t="n">
        <x:v>45170</x:v>
      </x:c>
      <x:c r="B106" s="2" t="str">
        <x:v>Lojas</x:v>
      </x:c>
      <x:c r="C106" s="2" t="str">
        <x:v>Sudeste</x:v>
      </x:c>
      <x:c r="D106" s="2" t="str">
        <x:v>M-0101</x:v>
      </x:c>
      <x:c r="E106" s="16" t="n">
        <x:v>146</x:v>
      </x:c>
      <x:c r="F106" s="17" t="n">
        <x:v>169285.94</x:v>
      </x:c>
      <x:c r="G106" s="17" t="n">
        <x:v>4984.53</x:v>
      </x:c>
      <x:c r="H106" s="17" t="n">
        <x:v>2370</x:v>
      </x:c>
      <x:c r="I106" s="17" t="n">
        <x:v>161931.41</x:v>
      </x:c>
      <x:c r="J106" s="17" t="n">
        <x:v>86434.51</x:v>
      </x:c>
      <x:c r="K106" s="17" t="n">
        <x:v>4372.15</x:v>
      </x:c>
      <x:c r="L106" s="17" t="n">
        <x:v>3886.35</x:v>
      </x:c>
      <x:c r="M106" s="17" t="n">
        <x:v>2914.77</x:v>
      </x:c>
      <x:c r="N106" s="16" t="n">
        <x:v>41</x:v>
      </x:c>
      <x:c r="O106" s="16" t="n">
        <x:v>11</x:v>
      </x:c>
      <x:c r="P106" s="16" t="n">
        <x:v>3</x:v>
      </x:c>
      <x:c r="Q106" s="16" t="n">
        <x:v>47</x:v>
      </x:c>
      <x:c r="R106" s="16" t="n">
        <x:v>33</x:v>
      </x:c>
      <x:c r="S106" s="16" t="n">
        <x:v>6</x:v>
      </x:c>
      <x:c r="T106" s="15" t="n">
        <x:f>YEAR(A106)</x:f>
        <x:v>2023</x:v>
      </x:c>
      <x:c r="U106" s="15" t="n">
        <x:f>ROUNDUP(MONTH(A106)/3,0)</x:f>
        <x:v>3</x:v>
      </x:c>
      <x:c r="V106" s="18" t="n">
        <x:f>I106-J106</x:f>
        <x:v>75496.90000000001</x:v>
      </x:c>
      <x:c r="W106" s="19" t="n">
        <x:f>IF(I106=0,"",V106/I106)</x:f>
        <x:v>0.4662276453962823</x:v>
      </x:c>
      <x:c r="X106" s="18" t="n">
        <x:f>I106-J106-K106-L106-M106</x:f>
        <x:v>64323.63000000001</x:v>
      </x:c>
      <x:c r="Y106" s="19" t="n">
        <x:f>IF(I106=0,"",X106/I106)</x:f>
        <x:v>0.3972276286608016</x:v>
      </x:c>
      <x:c r="Z106" s="18" t="n">
        <x:f>IF(E106=0,"",F106/E106)</x:f>
        <x:v>1159.4927397260274</x:v>
      </x:c>
      <x:c r="AA106" s="18" t="n">
        <x:f>IF(N106=0,"",M106/N106)</x:f>
        <x:v>71.0919512195122</x:v>
      </x:c>
      <x:c r="AB106" s="19" t="n">
        <x:f>IF(E106=0,"",O106/E106)</x:f>
        <x:v>0.07534246575342465</x:v>
      </x:c>
      <x:c r="AC106" s="19" t="n">
        <x:f>IF(E106=0,"",P106/E106)</x:f>
        <x:v>0.02054794520547945</x:v>
      </x:c>
      <x:c r="AD106" s="20" t="n">
        <x:f>IF(Q106=0,"",100*(R106-S106)/Q106)</x:f>
        <x:v>57.4468085106383</x:v>
      </x:c>
      <x:c r="AE106" s="19" t="n">
        <x:f>IF(F106=0,"",G106/F106)</x:f>
        <x:v>0.029444441753402554</x:v>
      </x:c>
      <x:c r="AF106" s="18" t="n">
        <x:f>ROUND(I106-(F106-G106-H106),2)</x:f>
        <x:v>0</x:v>
      </x:c>
    </x:row>
    <x:row r="107" ht="24" customHeight="1">
      <x:c r="A107" s="14" t="n">
        <x:v>45170</x:v>
      </x:c>
      <x:c r="B107" s="2" t="str">
        <x:v>Lojas</x:v>
      </x:c>
      <x:c r="C107" s="2" t="str">
        <x:v>Nordeste</x:v>
      </x:c>
      <x:c r="D107" s="2" t="str">
        <x:v>M-0102</x:v>
      </x:c>
      <x:c r="E107" s="16" t="n">
        <x:v>79</x:v>
      </x:c>
      <x:c r="F107" s="17" t="n">
        <x:v>91394.56</x:v>
      </x:c>
      <x:c r="G107" s="17" t="n">
        <x:v>2691.06</x:v>
      </x:c>
      <x:c r="H107" s="17" t="n">
        <x:v>1279.52</x:v>
      </x:c>
      <x:c r="I107" s="17" t="n">
        <x:v>87423.98</x:v>
      </x:c>
      <x:c r="J107" s="17" t="n">
        <x:v>48708.98</x:v>
      </x:c>
      <x:c r="K107" s="17" t="n">
        <x:v>2360.45</x:v>
      </x:c>
      <x:c r="L107" s="17" t="n">
        <x:v>2098.18</x:v>
      </x:c>
      <x:c r="M107" s="17" t="n">
        <x:v>1573.63</x:v>
      </x:c>
      <x:c r="N107" s="16" t="n">
        <x:v>22</x:v>
      </x:c>
      <x:c r="O107" s="16" t="n">
        <x:v>6</x:v>
      </x:c>
      <x:c r="P107" s="16" t="n">
        <x:v>2</x:v>
      </x:c>
      <x:c r="Q107" s="16" t="n">
        <x:v>25</x:v>
      </x:c>
      <x:c r="R107" s="16" t="n">
        <x:v>17</x:v>
      </x:c>
      <x:c r="S107" s="16" t="n">
        <x:v>3</x:v>
      </x:c>
      <x:c r="T107" s="15" t="n">
        <x:f>YEAR(A107)</x:f>
        <x:v>2023</x:v>
      </x:c>
      <x:c r="U107" s="15" t="n">
        <x:f>ROUNDUP(MONTH(A107)/3,0)</x:f>
        <x:v>3</x:v>
      </x:c>
      <x:c r="V107" s="18" t="n">
        <x:f>I107-J107</x:f>
        <x:v>38714.99999999999</x:v>
      </x:c>
      <x:c r="W107" s="19" t="n">
        <x:f>IF(I107=0,"",V107/I107)</x:f>
        <x:v>0.4428418838858628</x:v>
      </x:c>
      <x:c r="X107" s="18" t="n">
        <x:f>I107-J107-K107-L107-M107</x:f>
        <x:v>32682.739999999994</x:v>
      </x:c>
      <x:c r="Y107" s="19" t="n">
        <x:f>IF(I107=0,"",X107/I107)</x:f>
        <x:v>0.37384182234668334</x:v>
      </x:c>
      <x:c r="Z107" s="18" t="n">
        <x:f>IF(E107=0,"",F107/E107)</x:f>
        <x:v>1156.893164556962</x:v>
      </x:c>
      <x:c r="AA107" s="18" t="n">
        <x:f>IF(N107=0,"",M107/N107)</x:f>
        <x:v>71.52863636363637</x:v>
      </x:c>
      <x:c r="AB107" s="19" t="n">
        <x:f>IF(E107=0,"",O107/E107)</x:f>
        <x:v>0.0759493670886076</x:v>
      </x:c>
      <x:c r="AC107" s="19" t="n">
        <x:f>IF(E107=0,"",P107/E107)</x:f>
        <x:v>0.02531645569620253</x:v>
      </x:c>
      <x:c r="AD107" s="20" t="n">
        <x:f>IF(Q107=0,"",100*(R107-S107)/Q107)</x:f>
        <x:v>56</x:v>
      </x:c>
      <x:c r="AE107" s="19" t="n">
        <x:f>IF(F107=0,"",G107/F107)</x:f>
        <x:v>0.029444422075011904</x:v>
      </x:c>
      <x:c r="AF107" s="18" t="n">
        <x:f>ROUND(I107-(F107-G107-H107),2)</x:f>
        <x:v>0</x:v>
      </x:c>
    </x:row>
    <x:row r="108" ht="24" customHeight="1">
      <x:c r="A108" s="14" t="n">
        <x:v>45170</x:v>
      </x:c>
      <x:c r="B108" s="2" t="str">
        <x:v>Lojas</x:v>
      </x:c>
      <x:c r="C108" s="2" t="str">
        <x:v>Sul</x:v>
      </x:c>
      <x:c r="D108" s="2" t="str">
        <x:v>M-0103</x:v>
      </x:c>
      <x:c r="E108" s="16" t="n">
        <x:v>62</x:v>
      </x:c>
      <x:c r="F108" s="17" t="n">
        <x:v>72127.54</x:v>
      </x:c>
      <x:c r="G108" s="17" t="n">
        <x:v>2123.76</x:v>
      </x:c>
      <x:c r="H108" s="17" t="n">
        <x:v>1009.79</x:v>
      </x:c>
      <x:c r="I108" s="17" t="n">
        <x:v>68993.99</x:v>
      </x:c>
      <x:c r="J108" s="17" t="n">
        <x:v>35831.59</x:v>
      </x:c>
      <x:c r="K108" s="17" t="n">
        <x:v>1862.84</x:v>
      </x:c>
      <x:c r="L108" s="17" t="n">
        <x:v>1655.86</x:v>
      </x:c>
      <x:c r="M108" s="17" t="n">
        <x:v>1241.89</x:v>
      </x:c>
      <x:c r="N108" s="16" t="n">
        <x:v>17</x:v>
      </x:c>
      <x:c r="O108" s="16" t="n">
        <x:v>4</x:v>
      </x:c>
      <x:c r="P108" s="16" t="n">
        <x:v>1</x:v>
      </x:c>
      <x:c r="Q108" s="16" t="n">
        <x:v>20</x:v>
      </x:c>
      <x:c r="R108" s="16" t="n">
        <x:v>14</x:v>
      </x:c>
      <x:c r="S108" s="16" t="n">
        <x:v>3</x:v>
      </x:c>
      <x:c r="T108" s="15" t="n">
        <x:f>YEAR(A108)</x:f>
        <x:v>2023</x:v>
      </x:c>
      <x:c r="U108" s="15" t="n">
        <x:f>ROUNDUP(MONTH(A108)/3,0)</x:f>
        <x:v>3</x:v>
      </x:c>
      <x:c r="V108" s="18" t="n">
        <x:f>I108-J108</x:f>
        <x:v>33162.40000000001</x:v>
      </x:c>
      <x:c r="W108" s="19" t="n">
        <x:f>IF(I108=0,"",V108/I108)</x:f>
        <x:v>0.4806563586190624</x:v>
      </x:c>
      <x:c r="X108" s="18" t="n">
        <x:f>I108-J108-K108-L108-M108</x:f>
        <x:v>28401.81000000001</x:v>
      </x:c>
      <x:c r="Y108" s="19" t="n">
        <x:f>IF(I108=0,"",X108/I108)</x:f>
        <x:v>0.41165629064212705</x:v>
      </x:c>
      <x:c r="Z108" s="18" t="n">
        <x:f>IF(E108=0,"",F108/E108)</x:f>
        <x:v>1163.3474193548386</x:v>
      </x:c>
      <x:c r="AA108" s="18" t="n">
        <x:f>IF(N108=0,"",M108/N108)</x:f>
        <x:v>73.05235294117648</x:v>
      </x:c>
      <x:c r="AB108" s="19" t="n">
        <x:f>IF(E108=0,"",O108/E108)</x:f>
        <x:v>0.06451612903225806</x:v>
      </x:c>
      <x:c r="AC108" s="19" t="n">
        <x:f>IF(E108=0,"",P108/E108)</x:f>
        <x:v>0.016129032258064516</x:v>
      </x:c>
      <x:c r="AD108" s="20" t="n">
        <x:f>IF(Q108=0,"",100*(R108-S108)/Q108)</x:f>
        <x:v>55</x:v>
      </x:c>
      <x:c r="AE108" s="19" t="n">
        <x:f>IF(F108=0,"",G108/F108)</x:f>
        <x:v>0.02944450899060193</x:v>
      </x:c>
      <x:c r="AF108" s="18" t="n">
        <x:f>ROUND(I108-(F108-G108-H108),2)</x:f>
        <x:v>0</x:v>
      </x:c>
    </x:row>
    <x:row r="109" ht="24" customHeight="1">
      <x:c r="A109" s="14" t="n">
        <x:v>45170</x:v>
      </x:c>
      <x:c r="B109" s="2" t="str">
        <x:v>Lojas</x:v>
      </x:c>
      <x:c r="C109" s="2" t="str">
        <x:v>Centro-Oeste</x:v>
      </x:c>
      <x:c r="D109" s="2" t="str">
        <x:v>M-0104</x:v>
      </x:c>
      <x:c r="E109" s="16" t="n">
        <x:v>58</x:v>
      </x:c>
      <x:c r="F109" s="17" t="n">
        <x:v>67636.85</x:v>
      </x:c>
      <x:c r="G109" s="17" t="n">
        <x:v>1991.53</x:v>
      </x:c>
      <x:c r="H109" s="17" t="n">
        <x:v>946.92</x:v>
      </x:c>
      <x:c r="I109" s="17" t="n">
        <x:v>64698.4</x:v>
      </x:c>
      <x:c r="J109" s="17" t="n">
        <x:v>34797.23</x:v>
      </x:c>
      <x:c r="K109" s="17" t="n">
        <x:v>1746.86</x:v>
      </x:c>
      <x:c r="L109" s="17" t="n">
        <x:v>1552.76</x:v>
      </x:c>
      <x:c r="M109" s="17" t="n">
        <x:v>1164.57</x:v>
      </x:c>
      <x:c r="N109" s="16" t="n">
        <x:v>16</x:v>
      </x:c>
      <x:c r="O109" s="16" t="n">
        <x:v>4</x:v>
      </x:c>
      <x:c r="P109" s="16" t="n">
        <x:v>1</x:v>
      </x:c>
      <x:c r="Q109" s="16" t="n">
        <x:v>19</x:v>
      </x:c>
      <x:c r="R109" s="16" t="n">
        <x:v>13</x:v>
      </x:c>
      <x:c r="S109" s="16" t="n">
        <x:v>3</x:v>
      </x:c>
      <x:c r="T109" s="15" t="n">
        <x:f>YEAR(A109)</x:f>
        <x:v>2023</x:v>
      </x:c>
      <x:c r="U109" s="15" t="n">
        <x:f>ROUNDUP(MONTH(A109)/3,0)</x:f>
        <x:v>3</x:v>
      </x:c>
      <x:c r="V109" s="18" t="n">
        <x:f>I109-J109</x:f>
        <x:v>29901.17</x:v>
      </x:c>
      <x:c r="W109" s="19" t="n">
        <x:f>IF(I109=0,"",V109/I109)</x:f>
        <x:v>0.4621624336923324</x:v>
      </x:c>
      <x:c r="X109" s="18" t="n">
        <x:f>I109-J109-K109-L109-M109</x:f>
        <x:v>25436.98</x:v>
      </x:c>
      <x:c r="Y109" s="19" t="n">
        <x:f>IF(I109=0,"",X109/I109)</x:f>
        <x:v>0.3931624275097993</x:v>
      </x:c>
      <x:c r="Z109" s="18" t="n">
        <x:f>IF(E109=0,"",F109/E109)</x:f>
        <x:v>1166.1525862068966</x:v>
      </x:c>
      <x:c r="AA109" s="18" t="n">
        <x:f>IF(N109=0,"",M109/N109)</x:f>
        <x:v>72.785625</x:v>
      </x:c>
      <x:c r="AB109" s="19" t="n">
        <x:f>IF(E109=0,"",O109/E109)</x:f>
        <x:v>0.06896551724137931</x:v>
      </x:c>
      <x:c r="AC109" s="19" t="n">
        <x:f>IF(E109=0,"",P109/E109)</x:f>
        <x:v>0.017241379310344827</x:v>
      </x:c>
      <x:c r="AD109" s="20" t="n">
        <x:f>IF(Q109=0,"",100*(R109-S109)/Q109)</x:f>
        <x:v>52.63157894736842</x:v>
      </x:c>
      <x:c r="AE109" s="19" t="n">
        <x:f>IF(F109=0,"",G109/F109)</x:f>
        <x:v>0.0294444522475544</x:v>
      </x:c>
      <x:c r="AF109" s="18" t="n">
        <x:f>ROUND(I109-(F109-G109-H109),2)</x:f>
        <x:v>0</x:v>
      </x:c>
    </x:row>
    <x:row r="110" ht="24" customHeight="1">
      <x:c r="A110" s="14" t="n">
        <x:v>45170</x:v>
      </x:c>
      <x:c r="B110" s="2" t="str">
        <x:v>B2B</x:v>
      </x:c>
      <x:c r="C110" s="2" t="str">
        <x:v>Sudeste</x:v>
      </x:c>
      <x:c r="D110" s="2" t="str">
        <x:v>M-0105</x:v>
      </x:c>
      <x:c r="E110" s="16" t="n">
        <x:v>81</x:v>
      </x:c>
      <x:c r="F110" s="17" t="n">
        <x:v>93948.17</x:v>
      </x:c>
      <x:c r="G110" s="17" t="n">
        <x:v>2766.25</x:v>
      </x:c>
      <x:c r="H110" s="17" t="n">
        <x:v>1315.27</x:v>
      </x:c>
      <x:c r="I110" s="17" t="n">
        <x:v>89866.65</x:v>
      </x:c>
      <x:c r="J110" s="17" t="n">
        <x:v>48157.95</x:v>
      </x:c>
      <x:c r="K110" s="17" t="n">
        <x:v>2426.4</x:v>
      </x:c>
      <x:c r="L110" s="17" t="n">
        <x:v>2156.8</x:v>
      </x:c>
      <x:c r="M110" s="17" t="n">
        <x:v>1617.6</x:v>
      </x:c>
      <x:c r="N110" s="16" t="n">
        <x:v>23</x:v>
      </x:c>
      <x:c r="O110" s="16" t="n">
        <x:v>6</x:v>
      </x:c>
      <x:c r="P110" s="16" t="n">
        <x:v>2</x:v>
      </x:c>
      <x:c r="Q110" s="16" t="n">
        <x:v>26</x:v>
      </x:c>
      <x:c r="R110" s="16" t="n">
        <x:v>18</x:v>
      </x:c>
      <x:c r="S110" s="16" t="n">
        <x:v>3</x:v>
      </x:c>
      <x:c r="T110" s="15" t="n">
        <x:f>YEAR(A110)</x:f>
        <x:v>2023</x:v>
      </x:c>
      <x:c r="U110" s="15" t="n">
        <x:f>ROUNDUP(MONTH(A110)/3,0)</x:f>
        <x:v>3</x:v>
      </x:c>
      <x:c r="V110" s="18" t="n">
        <x:f>I110-J110</x:f>
        <x:v>41708.7</x:v>
      </x:c>
      <x:c r="W110" s="19" t="n">
        <x:f>IF(I110=0,"",V110/I110)</x:f>
        <x:v>0.464117667677609</x:v>
      </x:c>
      <x:c r="X110" s="18" t="n">
        <x:f>I110-J110-K110-L110-M110</x:f>
        <x:v>35507.899999999994</x:v>
      </x:c>
      <x:c r="Y110" s="19" t="n">
        <x:f>IF(I110=0,"",X110/I110)</x:f>
        <x:v>0.3951176548808707</x:v>
      </x:c>
      <x:c r="Z110" s="18" t="n">
        <x:f>IF(E110=0,"",F110/E110)</x:f>
        <x:v>1159.853950617284</x:v>
      </x:c>
      <x:c r="AA110" s="18" t="n">
        <x:f>IF(N110=0,"",M110/N110)</x:f>
        <x:v>70.33043478260869</x:v>
      </x:c>
      <x:c r="AB110" s="19" t="n">
        <x:f>IF(E110=0,"",O110/E110)</x:f>
        <x:v>0.07407407407407407</x:v>
      </x:c>
      <x:c r="AC110" s="19" t="n">
        <x:f>IF(E110=0,"",P110/E110)</x:f>
        <x:v>0.024691358024691357</x:v>
      </x:c>
      <x:c r="AD110" s="20" t="n">
        <x:f>IF(Q110=0,"",100*(R110-S110)/Q110)</x:f>
        <x:v>57.69230769230769</x:v>
      </x:c>
      <x:c r="AE110" s="19" t="n">
        <x:f>IF(F110=0,"",G110/F110)</x:f>
        <x:v>0.029444426645032044</x:v>
      </x:c>
      <x:c r="AF110" s="18" t="n">
        <x:f>ROUND(I110-(F110-G110-H110),2)</x:f>
        <x:v>0</x:v>
      </x:c>
    </x:row>
    <x:row r="111" ht="24" customHeight="1">
      <x:c r="A111" s="14" t="n">
        <x:v>45170</x:v>
      </x:c>
      <x:c r="B111" s="2" t="str">
        <x:v>B2B</x:v>
      </x:c>
      <x:c r="C111" s="2" t="str">
        <x:v>Nordeste</x:v>
      </x:c>
      <x:c r="D111" s="2" t="str">
        <x:v>M-0106</x:v>
      </x:c>
      <x:c r="E111" s="16" t="n">
        <x:v>55</x:v>
      </x:c>
      <x:c r="F111" s="17" t="n">
        <x:v>64101.69</x:v>
      </x:c>
      <x:c r="G111" s="17" t="n">
        <x:v>1887.44</x:v>
      </x:c>
      <x:c r="H111" s="17" t="n">
        <x:v>897.42</x:v>
      </x:c>
      <x:c r="I111" s="17" t="n">
        <x:v>61316.83</x:v>
      </x:c>
      <x:c r="J111" s="17" t="n">
        <x:v>33200.56</x:v>
      </x:c>
      <x:c r="K111" s="17" t="n">
        <x:v>1655.55</x:v>
      </x:c>
      <x:c r="L111" s="17" t="n">
        <x:v>1471.6</x:v>
      </x:c>
      <x:c r="M111" s="17" t="n">
        <x:v>1103.7</x:v>
      </x:c>
      <x:c r="N111" s="16" t="n">
        <x:v>15</x:v>
      </x:c>
      <x:c r="O111" s="16" t="n">
        <x:v>4</x:v>
      </x:c>
      <x:c r="P111" s="16" t="n">
        <x:v>1</x:v>
      </x:c>
      <x:c r="Q111" s="16" t="n">
        <x:v>18</x:v>
      </x:c>
      <x:c r="R111" s="16" t="n">
        <x:v>12</x:v>
      </x:c>
      <x:c r="S111" s="16" t="n">
        <x:v>2</x:v>
      </x:c>
      <x:c r="T111" s="15" t="n">
        <x:f>YEAR(A111)</x:f>
        <x:v>2023</x:v>
      </x:c>
      <x:c r="U111" s="15" t="n">
        <x:f>ROUNDUP(MONTH(A111)/3,0)</x:f>
        <x:v>3</x:v>
      </x:c>
      <x:c r="V111" s="18" t="n">
        <x:f>I111-J111</x:f>
        <x:v>28116.270000000004</x:v>
      </x:c>
      <x:c r="W111" s="19" t="n">
        <x:f>IF(I111=0,"",V111/I111)</x:f>
        <x:v>0.45854082802388846</x:v>
      </x:c>
      <x:c r="X111" s="18" t="n">
        <x:f>I111-J111-K111-L111-M111</x:f>
        <x:v>23885.420000000006</x:v>
      </x:c>
      <x:c r="Y111" s="19" t="n">
        <x:f>IF(I111=0,"",X111/I111)</x:f>
        <x:v>0.3895410118233445</x:v>
      </x:c>
      <x:c r="Z111" s="18" t="n">
        <x:f>IF(E111=0,"",F111/E111)</x:f>
        <x:v>1165.4852727272728</x:v>
      </x:c>
      <x:c r="AA111" s="18" t="n">
        <x:f>IF(N111=0,"",M111/N111)</x:f>
        <x:v>73.58</x:v>
      </x:c>
      <x:c r="AB111" s="19" t="n">
        <x:f>IF(E111=0,"",O111/E111)</x:f>
        <x:v>0.07272727272727272</x:v>
      </x:c>
      <x:c r="AC111" s="19" t="n">
        <x:f>IF(E111=0,"",P111/E111)</x:f>
        <x:v>0.01818181818181818</x:v>
      </x:c>
      <x:c r="AD111" s="20" t="n">
        <x:f>IF(Q111=0,"",100*(R111-S111)/Q111)</x:f>
        <x:v>55.55555555555556</x:v>
      </x:c>
      <x:c r="AE111" s="19" t="n">
        <x:f>IF(F111=0,"",G111/F111)</x:f>
        <x:v>0.02944446550473162</x:v>
      </x:c>
      <x:c r="AF111" s="18" t="n">
        <x:f>ROUND(I111-(F111-G111-H111),2)</x:f>
        <x:v>0</x:v>
      </x:c>
    </x:row>
    <x:row r="112" ht="24" customHeight="1">
      <x:c r="A112" s="14" t="n">
        <x:v>45170</x:v>
      </x:c>
      <x:c r="B112" s="2" t="str">
        <x:v>B2B</x:v>
      </x:c>
      <x:c r="C112" s="2" t="str">
        <x:v>Sul</x:v>
      </x:c>
      <x:c r="D112" s="2" t="str">
        <x:v>M-0107</x:v>
      </x:c>
      <x:c r="E112" s="16" t="n">
        <x:v>41</x:v>
      </x:c>
      <x:c r="F112" s="17" t="n">
        <x:v>47928.35</x:v>
      </x:c>
      <x:c r="G112" s="17" t="n">
        <x:v>1411.22</x:v>
      </x:c>
      <x:c r="H112" s="17" t="n">
        <x:v>671</x:v>
      </x:c>
      <x:c r="I112" s="17" t="n">
        <x:v>45846.13</x:v>
      </x:c>
      <x:c r="J112" s="17" t="n">
        <x:v>24546.34</x:v>
      </x:c>
      <x:c r="K112" s="17" t="n">
        <x:v>1237.85</x:v>
      </x:c>
      <x:c r="L112" s="17" t="n">
        <x:v>1100.31</x:v>
      </x:c>
      <x:c r="M112" s="17" t="n">
        <x:v>825.23</x:v>
      </x:c>
      <x:c r="N112" s="16" t="n">
        <x:v>11</x:v>
      </x:c>
      <x:c r="O112" s="16" t="n">
        <x:v>3</x:v>
      </x:c>
      <x:c r="P112" s="16" t="n">
        <x:v>1</x:v>
      </x:c>
      <x:c r="Q112" s="16" t="n">
        <x:v>13</x:v>
      </x:c>
      <x:c r="R112" s="16" t="n">
        <x:v>9</x:v>
      </x:c>
      <x:c r="S112" s="16" t="n">
        <x:v>2</x:v>
      </x:c>
      <x:c r="T112" s="15" t="n">
        <x:f>YEAR(A112)</x:f>
        <x:v>2023</x:v>
      </x:c>
      <x:c r="U112" s="15" t="n">
        <x:f>ROUNDUP(MONTH(A112)/3,0)</x:f>
        <x:v>3</x:v>
      </x:c>
      <x:c r="V112" s="18" t="n">
        <x:f>I112-J112</x:f>
        <x:v>21299.789999999997</x:v>
      </x:c>
      <x:c r="W112" s="19" t="n">
        <x:f>IF(I112=0,"",V112/I112)</x:f>
        <x:v>0.4645929765500381</x:v>
      </x:c>
      <x:c r="X112" s="18" t="n">
        <x:f>I112-J112-K112-L112-M112</x:f>
        <x:v>18136.399999999998</x:v>
      </x:c>
      <x:c r="Y112" s="19" t="n">
        <x:f>IF(I112=0,"",X112/I112)</x:f>
        <x:v>0.3955928232110322</x:v>
      </x:c>
      <x:c r="Z112" s="18" t="n">
        <x:f>IF(E112=0,"",F112/E112)</x:f>
        <x:v>1168.9841463414634</x:v>
      </x:c>
      <x:c r="AA112" s="18" t="n">
        <x:f>IF(N112=0,"",M112/N112)</x:f>
        <x:v>75.02090909090909</x:v>
      </x:c>
      <x:c r="AB112" s="19" t="n">
        <x:f>IF(E112=0,"",O112/E112)</x:f>
        <x:v>0.07317073170731707</x:v>
      </x:c>
      <x:c r="AC112" s="19" t="n">
        <x:f>IF(E112=0,"",P112/E112)</x:f>
        <x:v>0.024390243902439025</x:v>
      </x:c>
      <x:c r="AD112" s="20" t="n">
        <x:f>IF(Q112=0,"",100*(R112-S112)/Q112)</x:f>
        <x:v>53.84615384615385</x:v>
      </x:c>
      <x:c r="AE112" s="19" t="n">
        <x:f>IF(F112=0,"",G112/F112)</x:f>
        <x:v>0.029444368520927595</x:v>
      </x:c>
      <x:c r="AF112" s="18" t="n">
        <x:f>ROUND(I112-(F112-G112-H112),2)</x:f>
        <x:v>0</x:v>
      </x:c>
    </x:row>
    <x:row r="113" ht="24" customHeight="1">
      <x:c r="A113" s="14" t="n">
        <x:v>45170</x:v>
      </x:c>
      <x:c r="B113" s="2" t="str">
        <x:v>B2B</x:v>
      </x:c>
      <x:c r="C113" s="2" t="str">
        <x:v>Centro-Oeste</x:v>
      </x:c>
      <x:c r="D113" s="2" t="str">
        <x:v>M-0108</x:v>
      </x:c>
      <x:c r="E113" s="16" t="n">
        <x:v>36</x:v>
      </x:c>
      <x:c r="F113" s="17" t="n">
        <x:v>41299.18</x:v>
      </x:c>
      <x:c r="G113" s="17" t="n">
        <x:v>1216.03</x:v>
      </x:c>
      <x:c r="H113" s="17" t="n">
        <x:v>578.19</x:v>
      </x:c>
      <x:c r="I113" s="17" t="n">
        <x:v>39504.96</x:v>
      </x:c>
      <x:c r="J113" s="17" t="n">
        <x:v>20807.96</x:v>
      </x:c>
      <x:c r="K113" s="17" t="n">
        <x:v>1066.63</x:v>
      </x:c>
      <x:c r="L113" s="17" t="n">
        <x:v>948.12</x:v>
      </x:c>
      <x:c r="M113" s="17" t="n">
        <x:v>711.09</x:v>
      </x:c>
      <x:c r="N113" s="16" t="n">
        <x:v>10</x:v>
      </x:c>
      <x:c r="O113" s="16" t="n">
        <x:v>3</x:v>
      </x:c>
      <x:c r="P113" s="16" t="n">
        <x:v>1</x:v>
      </x:c>
      <x:c r="Q113" s="16" t="n">
        <x:v>12</x:v>
      </x:c>
      <x:c r="R113" s="16" t="n">
        <x:v>8</x:v>
      </x:c>
      <x:c r="S113" s="16" t="n">
        <x:v>2</x:v>
      </x:c>
      <x:c r="T113" s="15" t="n">
        <x:f>YEAR(A113)</x:f>
        <x:v>2023</x:v>
      </x:c>
      <x:c r="U113" s="15" t="n">
        <x:f>ROUNDUP(MONTH(A113)/3,0)</x:f>
        <x:v>3</x:v>
      </x:c>
      <x:c r="V113" s="18" t="n">
        <x:f>I113-J113</x:f>
        <x:v>18697</x:v>
      </x:c>
      <x:c r="W113" s="19" t="n">
        <x:f>IF(I113=0,"",V113/I113)</x:f>
        <x:v>0.4732823422679076</x:v>
      </x:c>
      <x:c r="X113" s="18" t="n">
        <x:f>I113-J113-K113-L113-M113</x:f>
        <x:v>15971.16</x:v>
      </x:c>
      <x:c r="Y113" s="19" t="n">
        <x:f>IF(I113=0,"",X113/I113)</x:f>
        <x:v>0.40428239896964835</x:v>
      </x:c>
      <x:c r="Z113" s="18" t="n">
        <x:f>IF(E113=0,"",F113/E113)</x:f>
        <x:v>1147.1994444444445</x:v>
      </x:c>
      <x:c r="AA113" s="18" t="n">
        <x:f>IF(N113=0,"",M113/N113)</x:f>
        <x:v>71.10900000000001</x:v>
      </x:c>
      <x:c r="AB113" s="19" t="n">
        <x:f>IF(E113=0,"",O113/E113)</x:f>
        <x:v>0.08333333333333333</x:v>
      </x:c>
      <x:c r="AC113" s="19" t="n">
        <x:f>IF(E113=0,"",P113/E113)</x:f>
        <x:v>0.027777777777777776</x:v>
      </x:c>
      <x:c r="AD113" s="20" t="n">
        <x:f>IF(Q113=0,"",100*(R113-S113)/Q113)</x:f>
        <x:v>50</x:v>
      </x:c>
      <x:c r="AE113" s="19" t="n">
        <x:f>IF(F113=0,"",G113/F113)</x:f>
        <x:v>0.029444410276426795</x:v>
      </x:c>
      <x:c r="AF113" s="18" t="n">
        <x:f>ROUND(I113-(F113-G113-H113),2)</x:f>
        <x:v>0</x:v>
      </x:c>
    </x:row>
    <x:row r="114" ht="24" customHeight="1">
      <x:c r="A114" s="14" t="n">
        <x:v>45200</x:v>
      </x:c>
      <x:c r="B114" s="2" t="str">
        <x:v>E-commerce</x:v>
      </x:c>
      <x:c r="C114" s="2" t="str">
        <x:v>Sudeste</x:v>
      </x:c>
      <x:c r="D114" s="2" t="str">
        <x:v>M-0109</x:v>
      </x:c>
      <x:c r="E114" s="16" t="n">
        <x:v>154</x:v>
      </x:c>
      <x:c r="F114" s="17" t="n">
        <x:v>179337.66</x:v>
      </x:c>
      <x:c r="G114" s="17" t="n">
        <x:v>5380.13</x:v>
      </x:c>
      <x:c r="H114" s="17" t="n">
        <x:v>2600.4</x:v>
      </x:c>
      <x:c r="I114" s="17" t="n">
        <x:v>171357.13</x:v>
      </x:c>
      <x:c r="J114" s="17" t="n">
        <x:v>92020.36</x:v>
      </x:c>
      <x:c r="K114" s="17" t="n">
        <x:v>8396.5</x:v>
      </x:c>
      <x:c r="L114" s="17" t="n">
        <x:v>4112.57</x:v>
      </x:c>
      <x:c r="M114" s="17" t="n">
        <x:v>12851.78</x:v>
      </x:c>
      <x:c r="N114" s="16" t="n">
        <x:v>80</x:v>
      </x:c>
      <x:c r="O114" s="16" t="n">
        <x:v>12</x:v>
      </x:c>
      <x:c r="P114" s="16" t="n">
        <x:v>3</x:v>
      </x:c>
      <x:c r="Q114" s="16" t="n">
        <x:v>49</x:v>
      </x:c>
      <x:c r="R114" s="16" t="n">
        <x:v>34</x:v>
      </x:c>
      <x:c r="S114" s="16" t="n">
        <x:v>7</x:v>
      </x:c>
      <x:c r="T114" s="15" t="n">
        <x:f>YEAR(A114)</x:f>
        <x:v>2023</x:v>
      </x:c>
      <x:c r="U114" s="15" t="n">
        <x:f>ROUNDUP(MONTH(A114)/3,0)</x:f>
        <x:v>4</x:v>
      </x:c>
      <x:c r="V114" s="18" t="n">
        <x:f>I114-J114</x:f>
        <x:v>79336.77</x:v>
      </x:c>
      <x:c r="W114" s="19" t="n">
        <x:f>IF(I114=0,"",V114/I114)</x:f>
        <x:v>0.4629907725462022</x:v>
      </x:c>
      <x:c r="X114" s="18" t="n">
        <x:f>I114-J114-K114-L114-M114</x:f>
        <x:v>53975.92000000001</x:v>
      </x:c>
      <x:c r="Y114" s="19" t="n">
        <x:f>IF(I114=0,"",X114/I114)</x:f>
        <x:v>0.3149908031256126</x:v>
      </x:c>
      <x:c r="Z114" s="18" t="n">
        <x:f>IF(E114=0,"",F114/E114)</x:f>
        <x:v>1164.5302597402597</x:v>
      </x:c>
      <x:c r="AA114" s="18" t="n">
        <x:f>IF(N114=0,"",M114/N114)</x:f>
        <x:v>160.64725</x:v>
      </x:c>
      <x:c r="AB114" s="19" t="n">
        <x:f>IF(E114=0,"",O114/E114)</x:f>
        <x:v>0.07792207792207792</x:v>
      </x:c>
      <x:c r="AC114" s="19" t="n">
        <x:f>IF(E114=0,"",P114/E114)</x:f>
        <x:v>0.01948051948051948</x:v>
      </x:c>
      <x:c r="AD114" s="20" t="n">
        <x:f>IF(Q114=0,"",100*(R114-S114)/Q114)</x:f>
        <x:v>55.10204081632653</x:v>
      </x:c>
      <x:c r="AE114" s="19" t="n">
        <x:f>IF(F114=0,"",G114/F114)</x:f>
        <x:v>0.03000000111521473</x:v>
      </x:c>
      <x:c r="AF114" s="18" t="n">
        <x:f>ROUND(I114-(F114-G114-H114),2)</x:f>
        <x:v>0</x:v>
      </x:c>
    </x:row>
    <x:row r="115" ht="24" customHeight="1">
      <x:c r="A115" s="14" t="n">
        <x:v>45200</x:v>
      </x:c>
      <x:c r="B115" s="2" t="str">
        <x:v>E-commerce</x:v>
      </x:c>
      <x:c r="C115" s="2" t="str">
        <x:v>Nordeste</x:v>
      </x:c>
      <x:c r="D115" s="2" t="str">
        <x:v>M-0110</x:v>
      </x:c>
      <x:c r="E115" s="16" t="n">
        <x:v>103</x:v>
      </x:c>
      <x:c r="F115" s="17" t="n">
        <x:v>119842.82</x:v>
      </x:c>
      <x:c r="G115" s="17" t="n">
        <x:v>3595.28</x:v>
      </x:c>
      <x:c r="H115" s="17" t="n">
        <x:v>1737.72</x:v>
      </x:c>
      <x:c r="I115" s="17" t="n">
        <x:v>114509.82</x:v>
      </x:c>
      <x:c r="J115" s="17" t="n">
        <x:v>59605.21</x:v>
      </x:c>
      <x:c r="K115" s="17" t="n">
        <x:v>5610.98</x:v>
      </x:c>
      <x:c r="L115" s="17" t="n">
        <x:v>2748.24</x:v>
      </x:c>
      <x:c r="M115" s="17" t="n">
        <x:v>8588.24</x:v>
      </x:c>
      <x:c r="N115" s="16" t="n">
        <x:v>54</x:v>
      </x:c>
      <x:c r="O115" s="16" t="n">
        <x:v>8</x:v>
      </x:c>
      <x:c r="P115" s="16" t="n">
        <x:v>2</x:v>
      </x:c>
      <x:c r="Q115" s="16" t="n">
        <x:v>33</x:v>
      </x:c>
      <x:c r="R115" s="16" t="n">
        <x:v>23</x:v>
      </x:c>
      <x:c r="S115" s="16" t="n">
        <x:v>4</x:v>
      </x:c>
      <x:c r="T115" s="15" t="n">
        <x:f>YEAR(A115)</x:f>
        <x:v>2023</x:v>
      </x:c>
      <x:c r="U115" s="15" t="n">
        <x:f>ROUNDUP(MONTH(A115)/3,0)</x:f>
        <x:v>4</x:v>
      </x:c>
      <x:c r="V115" s="18" t="n">
        <x:f>I115-J115</x:f>
        <x:v>54904.61000000001</x:v>
      </x:c>
      <x:c r="W115" s="19" t="n">
        <x:f>IF(I115=0,"",V115/I115)</x:f>
        <x:v>0.4794751227449314</x:v>
      </x:c>
      <x:c r="X115" s="18" t="n">
        <x:f>I115-J115-K115-L115-M115</x:f>
        <x:v>37957.15000000001</x:v>
      </x:c>
      <x:c r="Y115" s="19" t="n">
        <x:f>IF(I115=0,"",X115/I115)</x:f>
        <x:v>0.33147506475863825</x:v>
      </x:c>
      <x:c r="Z115" s="18" t="n">
        <x:f>IF(E115=0,"",F115/E115)</x:f>
        <x:v>1163.5225242718448</x:v>
      </x:c>
      <x:c r="AA115" s="18" t="n">
        <x:f>IF(N115=0,"",M115/N115)</x:f>
        <x:v>159.04148148148147</x:v>
      </x:c>
      <x:c r="AB115" s="19" t="n">
        <x:f>IF(E115=0,"",O115/E115)</x:f>
        <x:v>0.07766990291262135</x:v>
      </x:c>
      <x:c r="AC115" s="19" t="n">
        <x:f>IF(E115=0,"",P115/E115)</x:f>
        <x:v>0.019417475728155338</x:v>
      </x:c>
      <x:c r="AD115" s="20" t="n">
        <x:f>IF(Q115=0,"",100*(R115-S115)/Q115)</x:f>
        <x:v>57.57575757575758</x:v>
      </x:c>
      <x:c r="AE115" s="19" t="n">
        <x:f>IF(F115=0,"",G115/F115)</x:f>
        <x:v>0.029999961616390534</x:v>
      </x:c>
      <x:c r="AF115" s="18" t="n">
        <x:f>ROUND(I115-(F115-G115-H115),2)</x:f>
        <x:v>0</x:v>
      </x:c>
    </x:row>
    <x:row r="116" ht="24" customHeight="1">
      <x:c r="A116" s="14" t="n">
        <x:v>45200</x:v>
      </x:c>
      <x:c r="B116" s="2" t="str">
        <x:v>E-commerce</x:v>
      </x:c>
      <x:c r="C116" s="2" t="str">
        <x:v>Sul</x:v>
      </x:c>
      <x:c r="D116" s="2" t="str">
        <x:v>M-0111</x:v>
      </x:c>
      <x:c r="E116" s="16" t="n">
        <x:v>84</x:v>
      </x:c>
      <x:c r="F116" s="17" t="n">
        <x:v>97287.29</x:v>
      </x:c>
      <x:c r="G116" s="17" t="n">
        <x:v>2918.62</x:v>
      </x:c>
      <x:c r="H116" s="17" t="n">
        <x:v>1410.67</x:v>
      </x:c>
      <x:c r="I116" s="17" t="n">
        <x:v>92958</x:v>
      </x:c>
      <x:c r="J116" s="17" t="n">
        <x:v>49465.05</x:v>
      </x:c>
      <x:c r="K116" s="17" t="n">
        <x:v>4554.94</x:v>
      </x:c>
      <x:c r="L116" s="17" t="n">
        <x:v>2230.99</x:v>
      </x:c>
      <x:c r="M116" s="17" t="n">
        <x:v>6971.85</x:v>
      </x:c>
      <x:c r="N116" s="16" t="n">
        <x:v>44</x:v>
      </x:c>
      <x:c r="O116" s="16" t="n">
        <x:v>6</x:v>
      </x:c>
      <x:c r="P116" s="16" t="n">
        <x:v>2</x:v>
      </x:c>
      <x:c r="Q116" s="16" t="n">
        <x:v>27</x:v>
      </x:c>
      <x:c r="R116" s="16" t="n">
        <x:v>19</x:v>
      </x:c>
      <x:c r="S116" s="16" t="n">
        <x:v>4</x:v>
      </x:c>
      <x:c r="T116" s="15" t="n">
        <x:f>YEAR(A116)</x:f>
        <x:v>2023</x:v>
      </x:c>
      <x:c r="U116" s="15" t="n">
        <x:f>ROUNDUP(MONTH(A116)/3,0)</x:f>
        <x:v>4</x:v>
      </x:c>
      <x:c r="V116" s="18" t="n">
        <x:f>I116-J116</x:f>
        <x:v>43492.95</x:v>
      </x:c>
      <x:c r="W116" s="19" t="n">
        <x:f>IF(I116=0,"",V116/I116)</x:f>
        <x:v>0.46787742851610403</x:v>
      </x:c>
      <x:c r="X116" s="18" t="n">
        <x:f>I116-J116-K116-L116-M116</x:f>
        <x:v>29735.17</x:v>
      </x:c>
      <x:c r="Y116" s="19" t="n">
        <x:f>IF(I116=0,"",X116/I116)</x:f>
        <x:v>0.3198774715462897</x:v>
      </x:c>
      <x:c r="Z116" s="18" t="n">
        <x:f>IF(E116=0,"",F116/E116)</x:f>
        <x:v>1158.1820238095238</x:v>
      </x:c>
      <x:c r="AA116" s="18" t="n">
        <x:f>IF(N116=0,"",M116/N116)</x:f>
        <x:v>158.45113636363638</x:v>
      </x:c>
      <x:c r="AB116" s="19" t="n">
        <x:f>IF(E116=0,"",O116/E116)</x:f>
        <x:v>0.07142857142857142</x:v>
      </x:c>
      <x:c r="AC116" s="19" t="n">
        <x:f>IF(E116=0,"",P116/E116)</x:f>
        <x:v>0.023809523809523808</x:v>
      </x:c>
      <x:c r="AD116" s="20" t="n">
        <x:f>IF(Q116=0,"",100*(R116-S116)/Q116)</x:f>
        <x:v>55.55555555555556</x:v>
      </x:c>
      <x:c r="AE116" s="19" t="n">
        <x:f>IF(F116=0,"",G116/F116)</x:f>
        <x:v>0.03000001336248548</x:v>
      </x:c>
      <x:c r="AF116" s="18" t="n">
        <x:f>ROUND(I116-(F116-G116-H116),2)</x:f>
        <x:v>0</x:v>
      </x:c>
    </x:row>
    <x:row r="117" ht="24" customHeight="1">
      <x:c r="A117" s="14" t="n">
        <x:v>45200</x:v>
      </x:c>
      <x:c r="B117" s="2" t="str">
        <x:v>E-commerce</x:v>
      </x:c>
      <x:c r="C117" s="2" t="str">
        <x:v>Centro-Oeste</x:v>
      </x:c>
      <x:c r="D117" s="2" t="str">
        <x:v>M-0112</x:v>
      </x:c>
      <x:c r="E117" s="16" t="n">
        <x:v>60</x:v>
      </x:c>
      <x:c r="F117" s="17" t="n">
        <x:v>69868.67</x:v>
      </x:c>
      <x:c r="G117" s="17" t="n">
        <x:v>2096.06</x:v>
      </x:c>
      <x:c r="H117" s="17" t="n">
        <x:v>1013.1</x:v>
      </x:c>
      <x:c r="I117" s="17" t="n">
        <x:v>66759.51</x:v>
      </x:c>
      <x:c r="J117" s="17" t="n">
        <x:v>35970.14</x:v>
      </x:c>
      <x:c r="K117" s="17" t="n">
        <x:v>3271.22</x:v>
      </x:c>
      <x:c r="L117" s="17" t="n">
        <x:v>1602.23</x:v>
      </x:c>
      <x:c r="M117" s="17" t="n">
        <x:v>5006.96</x:v>
      </x:c>
      <x:c r="N117" s="16" t="n">
        <x:v>31</x:v>
      </x:c>
      <x:c r="O117" s="16" t="n">
        <x:v>5</x:v>
      </x:c>
      <x:c r="P117" s="16" t="n">
        <x:v>1</x:v>
      </x:c>
      <x:c r="Q117" s="16" t="n">
        <x:v>19</x:v>
      </x:c>
      <x:c r="R117" s="16" t="n">
        <x:v>13</x:v>
      </x:c>
      <x:c r="S117" s="16" t="n">
        <x:v>3</x:v>
      </x:c>
      <x:c r="T117" s="15" t="n">
        <x:f>YEAR(A117)</x:f>
        <x:v>2023</x:v>
      </x:c>
      <x:c r="U117" s="15" t="n">
        <x:f>ROUNDUP(MONTH(A117)/3,0)</x:f>
        <x:v>4</x:v>
      </x:c>
      <x:c r="V117" s="18" t="n">
        <x:f>I117-J117</x:f>
        <x:v>30789.369999999995</x:v>
      </x:c>
      <x:c r="W117" s="19" t="n">
        <x:f>IF(I117=0,"",V117/I117)</x:f>
        <x:v>0.4611982622400913</x:v>
      </x:c>
      <x:c r="X117" s="18" t="n">
        <x:f>I117-J117-K117-L117-M117</x:f>
        <x:v>20908.959999999995</x:v>
      </x:c>
      <x:c r="Y117" s="19" t="n">
        <x:f>IF(I117=0,"",X117/I117)</x:f>
        <x:v>0.31319822449266027</x:v>
      </x:c>
      <x:c r="Z117" s="18" t="n">
        <x:f>IF(E117=0,"",F117/E117)</x:f>
        <x:v>1164.4778333333334</x:v>
      </x:c>
      <x:c r="AA117" s="18" t="n">
        <x:f>IF(N117=0,"",M117/N117)</x:f>
        <x:v>161.51483870967743</x:v>
      </x:c>
      <x:c r="AB117" s="19" t="n">
        <x:f>IF(E117=0,"",O117/E117)</x:f>
        <x:v>0.08333333333333333</x:v>
      </x:c>
      <x:c r="AC117" s="19" t="n">
        <x:f>IF(E117=0,"",P117/E117)</x:f>
        <x:v>0.016666666666666666</x:v>
      </x:c>
      <x:c r="AD117" s="20" t="n">
        <x:f>IF(Q117=0,"",100*(R117-S117)/Q117)</x:f>
        <x:v>52.63157894736842</x:v>
      </x:c>
      <x:c r="AE117" s="19" t="n">
        <x:f>IF(F117=0,"",G117/F117)</x:f>
        <x:v>0.02999999856874333</x:v>
      </x:c>
      <x:c r="AF117" s="18" t="n">
        <x:f>ROUND(I117-(F117-G117-H117),2)</x:f>
        <x:v>0</x:v>
      </x:c>
    </x:row>
    <x:row r="118" ht="24" customHeight="1">
      <x:c r="A118" s="14" t="n">
        <x:v>45200</x:v>
      </x:c>
      <x:c r="B118" s="2" t="str">
        <x:v>Lojas</x:v>
      </x:c>
      <x:c r="C118" s="2" t="str">
        <x:v>Sudeste</x:v>
      </x:c>
      <x:c r="D118" s="2" t="str">
        <x:v>M-0113</x:v>
      </x:c>
      <x:c r="E118" s="16" t="n">
        <x:v>133</x:v>
      </x:c>
      <x:c r="F118" s="17" t="n">
        <x:v>154273.7</x:v>
      </x:c>
      <x:c r="G118" s="17" t="n">
        <x:v>4628.21</x:v>
      </x:c>
      <x:c r="H118" s="17" t="n">
        <x:v>2236.97</x:v>
      </x:c>
      <x:c r="I118" s="17" t="n">
        <x:v>147408.52</x:v>
      </x:c>
      <x:c r="J118" s="17" t="n">
        <x:v>82408.94</x:v>
      </x:c>
      <x:c r="K118" s="17" t="n">
        <x:v>4127.44</x:v>
      </x:c>
      <x:c r="L118" s="17" t="n">
        <x:v>3537.8</x:v>
      </x:c>
      <x:c r="M118" s="17" t="n">
        <x:v>2653.35</x:v>
      </x:c>
      <x:c r="N118" s="16" t="n">
        <x:v>37</x:v>
      </x:c>
      <x:c r="O118" s="16" t="n">
        <x:v>10</x:v>
      </x:c>
      <x:c r="P118" s="16" t="n">
        <x:v>3</x:v>
      </x:c>
      <x:c r="Q118" s="16" t="n">
        <x:v>43</x:v>
      </x:c>
      <x:c r="R118" s="16" t="n">
        <x:v>29</x:v>
      </x:c>
      <x:c r="S118" s="16" t="n">
        <x:v>6</x:v>
      </x:c>
      <x:c r="T118" s="15" t="n">
        <x:f>YEAR(A118)</x:f>
        <x:v>2023</x:v>
      </x:c>
      <x:c r="U118" s="15" t="n">
        <x:f>ROUNDUP(MONTH(A118)/3,0)</x:f>
        <x:v>4</x:v>
      </x:c>
      <x:c r="V118" s="18" t="n">
        <x:f>I118-J118</x:f>
        <x:v>64999.57999999999</x:v>
      </x:c>
      <x:c r="W118" s="19" t="n">
        <x:f>IF(I118=0,"",V118/I118)</x:f>
        <x:v>0.4409485964583322</x:v>
      </x:c>
      <x:c r="X118" s="18" t="n">
        <x:f>I118-J118-K118-L118-M118</x:f>
        <x:v>54680.98999999998</x:v>
      </x:c>
      <x:c r="Y118" s="19" t="n">
        <x:f>IF(I118=0,"",X118/I118)</x:f>
        <x:v>0.3709486398750899</x:v>
      </x:c>
      <x:c r="Z118" s="18" t="n">
        <x:f>IF(E118=0,"",F118/E118)</x:f>
        <x:v>1159.9526315789474</x:v>
      </x:c>
      <x:c r="AA118" s="18" t="n">
        <x:f>IF(N118=0,"",M118/N118)</x:f>
        <x:v>71.71216216216216</x:v>
      </x:c>
      <x:c r="AB118" s="19" t="n">
        <x:f>IF(E118=0,"",O118/E118)</x:f>
        <x:v>0.07518796992481203</x:v>
      </x:c>
      <x:c r="AC118" s="19" t="n">
        <x:f>IF(E118=0,"",P118/E118)</x:f>
        <x:v>0.022556390977443608</x:v>
      </x:c>
      <x:c r="AD118" s="20" t="n">
        <x:f>IF(Q118=0,"",100*(R118-S118)/Q118)</x:f>
        <x:v>53.48837209302326</x:v>
      </x:c>
      <x:c r="AE118" s="19" t="n">
        <x:f>IF(F118=0,"",G118/F118)</x:f>
        <x:v>0.029999993518013763</x:v>
      </x:c>
      <x:c r="AF118" s="18" t="n">
        <x:f>ROUND(I118-(F118-G118-H118),2)</x:f>
        <x:v>0</x:v>
      </x:c>
    </x:row>
    <x:row r="119" ht="24" customHeight="1">
      <x:c r="A119" s="14" t="n">
        <x:v>45200</x:v>
      </x:c>
      <x:c r="B119" s="2" t="str">
        <x:v>Lojas</x:v>
      </x:c>
      <x:c r="C119" s="2" t="str">
        <x:v>Nordeste</x:v>
      </x:c>
      <x:c r="D119" s="2" t="str">
        <x:v>M-0114</x:v>
      </x:c>
      <x:c r="E119" s="16" t="n">
        <x:v>96</x:v>
      </x:c>
      <x:c r="F119" s="17" t="n">
        <x:v>111606.67</x:v>
      </x:c>
      <x:c r="G119" s="17" t="n">
        <x:v>3348.2</x:v>
      </x:c>
      <x:c r="H119" s="17" t="n">
        <x:v>1618.3</x:v>
      </x:c>
      <x:c r="I119" s="17" t="n">
        <x:v>106640.17</x:v>
      </x:c>
      <x:c r="J119" s="17" t="n">
        <x:v>58794.69</x:v>
      </x:c>
      <x:c r="K119" s="17" t="n">
        <x:v>2985.92</x:v>
      </x:c>
      <x:c r="L119" s="17" t="n">
        <x:v>2559.36</x:v>
      </x:c>
      <x:c r="M119" s="17" t="n">
        <x:v>1919.52</x:v>
      </x:c>
      <x:c r="N119" s="16" t="n">
        <x:v>27</x:v>
      </x:c>
      <x:c r="O119" s="16" t="n">
        <x:v>7</x:v>
      </x:c>
      <x:c r="P119" s="16" t="n">
        <x:v>2</x:v>
      </x:c>
      <x:c r="Q119" s="16" t="n">
        <x:v>31</x:v>
      </x:c>
      <x:c r="R119" s="16" t="n">
        <x:v>21</x:v>
      </x:c>
      <x:c r="S119" s="16" t="n">
        <x:v>4</x:v>
      </x:c>
      <x:c r="T119" s="15" t="n">
        <x:f>YEAR(A119)</x:f>
        <x:v>2023</x:v>
      </x:c>
      <x:c r="U119" s="15" t="n">
        <x:f>ROUNDUP(MONTH(A119)/3,0)</x:f>
        <x:v>4</x:v>
      </x:c>
      <x:c r="V119" s="18" t="n">
        <x:f>I119-J119</x:f>
        <x:v>47845.479999999996</x:v>
      </x:c>
      <x:c r="W119" s="19" t="n">
        <x:f>IF(I119=0,"",V119/I119)</x:f>
        <x:v>0.4486628256500341</x:v>
      </x:c>
      <x:c r="X119" s="18" t="n">
        <x:f>I119-J119-K119-L119-M119</x:f>
        <x:v>40380.68</x:v>
      </x:c>
      <x:c r="Y119" s="19" t="n">
        <x:f>IF(I119=0,"",X119/I119)</x:f>
        <x:v>0.37866293724025385</x:v>
      </x:c>
      <x:c r="Z119" s="18" t="n">
        <x:f>IF(E119=0,"",F119/E119)</x:f>
        <x:v>1162.5694791666667</x:v>
      </x:c>
      <x:c r="AA119" s="18" t="n">
        <x:f>IF(N119=0,"",M119/N119)</x:f>
        <x:v>71.09333333333333</x:v>
      </x:c>
      <x:c r="AB119" s="19" t="n">
        <x:f>IF(E119=0,"",O119/E119)</x:f>
        <x:v>0.07291666666666667</x:v>
      </x:c>
      <x:c r="AC119" s="19" t="n">
        <x:f>IF(E119=0,"",P119/E119)</x:f>
        <x:v>0.020833333333333332</x:v>
      </x:c>
      <x:c r="AD119" s="20" t="n">
        <x:f>IF(Q119=0,"",100*(R119-S119)/Q119)</x:f>
        <x:v>54.83870967741935</x:v>
      </x:c>
      <x:c r="AE119" s="19" t="n">
        <x:f>IF(F119=0,"",G119/F119)</x:f>
        <x:v>0.029999999103996203</x:v>
      </x:c>
      <x:c r="AF119" s="18" t="n">
        <x:f>ROUND(I119-(F119-G119-H119),2)</x:f>
        <x:v>0</x:v>
      </x:c>
    </x:row>
    <x:row r="120" ht="24" customHeight="1">
      <x:c r="A120" s="14" t="n">
        <x:v>45200</x:v>
      </x:c>
      <x:c r="B120" s="2" t="str">
        <x:v>Lojas</x:v>
      </x:c>
      <x:c r="C120" s="2" t="str">
        <x:v>Sul</x:v>
      </x:c>
      <x:c r="D120" s="2" t="str">
        <x:v>M-0115</x:v>
      </x:c>
      <x:c r="E120" s="16" t="n">
        <x:v>65</x:v>
      </x:c>
      <x:c r="F120" s="17" t="n">
        <x:v>75619.45</x:v>
      </x:c>
      <x:c r="G120" s="17" t="n">
        <x:v>2268.58</x:v>
      </x:c>
      <x:c r="H120" s="17" t="n">
        <x:v>1096.48</x:v>
      </x:c>
      <x:c r="I120" s="17" t="n">
        <x:v>72254.39</x:v>
      </x:c>
      <x:c r="J120" s="17" t="n">
        <x:v>39704.55</x:v>
      </x:c>
      <x:c r="K120" s="17" t="n">
        <x:v>2023.12</x:v>
      </x:c>
      <x:c r="L120" s="17" t="n">
        <x:v>1734.11</x:v>
      </x:c>
      <x:c r="M120" s="17" t="n">
        <x:v>1300.58</x:v>
      </x:c>
      <x:c r="N120" s="16" t="n">
        <x:v>18</x:v>
      </x:c>
      <x:c r="O120" s="16" t="n">
        <x:v>5</x:v>
      </x:c>
      <x:c r="P120" s="16" t="n">
        <x:v>1</x:v>
      </x:c>
      <x:c r="Q120" s="16" t="n">
        <x:v>21</x:v>
      </x:c>
      <x:c r="R120" s="16" t="n">
        <x:v>14</x:v>
      </x:c>
      <x:c r="S120" s="16" t="n">
        <x:v>3</x:v>
      </x:c>
      <x:c r="T120" s="15" t="n">
        <x:f>YEAR(A120)</x:f>
        <x:v>2023</x:v>
      </x:c>
      <x:c r="U120" s="15" t="n">
        <x:f>ROUNDUP(MONTH(A120)/3,0)</x:f>
        <x:v>4</x:v>
      </x:c>
      <x:c r="V120" s="18" t="n">
        <x:f>I120-J120</x:f>
        <x:v>32549.839999999997</x:v>
      </x:c>
      <x:c r="W120" s="19" t="n">
        <x:f>IF(I120=0,"",V120/I120)</x:f>
        <x:v>0.45048944430919696</x:v>
      </x:c>
      <x:c r="X120" s="18" t="n">
        <x:f>I120-J120-K120-L120-M120</x:f>
        <x:v>27492.03</x:v>
      </x:c>
      <x:c r="Y120" s="19" t="n">
        <x:f>IF(I120=0,"",X120/I120)</x:f>
        <x:v>0.3804894069412253</x:v>
      </x:c>
      <x:c r="Z120" s="18" t="n">
        <x:f>IF(E120=0,"",F120/E120)</x:f>
        <x:v>1163.3761538461538</x:v>
      </x:c>
      <x:c r="AA120" s="18" t="n">
        <x:f>IF(N120=0,"",M120/N120)</x:f>
        <x:v>72.25444444444445</x:v>
      </x:c>
      <x:c r="AB120" s="19" t="n">
        <x:f>IF(E120=0,"",O120/E120)</x:f>
        <x:v>0.07692307692307693</x:v>
      </x:c>
      <x:c r="AC120" s="19" t="n">
        <x:f>IF(E120=0,"",P120/E120)</x:f>
        <x:v>0.015384615384615385</x:v>
      </x:c>
      <x:c r="AD120" s="20" t="n">
        <x:f>IF(Q120=0,"",100*(R120-S120)/Q120)</x:f>
        <x:v>52.38095238095238</x:v>
      </x:c>
      <x:c r="AE120" s="19" t="n">
        <x:f>IF(F120=0,"",G120/F120)</x:f>
        <x:v>0.029999953715611528</x:v>
      </x:c>
      <x:c r="AF120" s="18" t="n">
        <x:f>ROUND(I120-(F120-G120-H120),2)</x:f>
        <x:v>0</x:v>
      </x:c>
    </x:row>
    <x:row r="121" ht="24" customHeight="1">
      <x:c r="A121" s="14" t="n">
        <x:v>45200</x:v>
      </x:c>
      <x:c r="B121" s="2" t="str">
        <x:v>Lojas</x:v>
      </x:c>
      <x:c r="C121" s="2" t="str">
        <x:v>Centro-Oeste</x:v>
      </x:c>
      <x:c r="D121" s="2" t="str">
        <x:v>M-0116</x:v>
      </x:c>
      <x:c r="E121" s="16" t="n">
        <x:v>60</x:v>
      </x:c>
      <x:c r="F121" s="17" t="n">
        <x:v>70085.44</x:v>
      </x:c>
      <x:c r="G121" s="17" t="n">
        <x:v>2102.56</x:v>
      </x:c>
      <x:c r="H121" s="17" t="n">
        <x:v>1016.24</x:v>
      </x:c>
      <x:c r="I121" s="17" t="n">
        <x:v>66966.64</x:v>
      </x:c>
      <x:c r="J121" s="17" t="n">
        <x:v>36657.55</x:v>
      </x:c>
      <x:c r="K121" s="17" t="n">
        <x:v>1875.07</x:v>
      </x:c>
      <x:c r="L121" s="17" t="n">
        <x:v>1607.2</x:v>
      </x:c>
      <x:c r="M121" s="17" t="n">
        <x:v>1205.4</x:v>
      </x:c>
      <x:c r="N121" s="16" t="n">
        <x:v>17</x:v>
      </x:c>
      <x:c r="O121" s="16" t="n">
        <x:v>5</x:v>
      </x:c>
      <x:c r="P121" s="16" t="n">
        <x:v>1</x:v>
      </x:c>
      <x:c r="Q121" s="16" t="n">
        <x:v>19</x:v>
      </x:c>
      <x:c r="R121" s="16" t="n">
        <x:v>13</x:v>
      </x:c>
      <x:c r="S121" s="16" t="n">
        <x:v>3</x:v>
      </x:c>
      <x:c r="T121" s="15" t="n">
        <x:f>YEAR(A121)</x:f>
        <x:v>2023</x:v>
      </x:c>
      <x:c r="U121" s="15" t="n">
        <x:f>ROUNDUP(MONTH(A121)/3,0)</x:f>
        <x:v>4</x:v>
      </x:c>
      <x:c r="V121" s="18" t="n">
        <x:f>I121-J121</x:f>
        <x:v>30309.089999999997</x:v>
      </x:c>
      <x:c r="W121" s="19" t="n">
        <x:f>IF(I121=0,"",V121/I121)</x:f>
        <x:v>0.4525998317968469</x:v>
      </x:c>
      <x:c r="X121" s="18" t="n">
        <x:f>I121-J121-K121-L121-M121</x:f>
        <x:v>25621.419999999995</x:v>
      </x:c>
      <x:c r="Y121" s="19" t="n">
        <x:f>IF(I121=0,"",X121/I121)</x:f>
        <x:v>0.3825997541462435</x:v>
      </x:c>
      <x:c r="Z121" s="18" t="n">
        <x:f>IF(E121=0,"",F121/E121)</x:f>
        <x:v>1168.0906666666667</x:v>
      </x:c>
      <x:c r="AA121" s="18" t="n">
        <x:f>IF(N121=0,"",M121/N121)</x:f>
        <x:v>70.90588235294118</x:v>
      </x:c>
      <x:c r="AB121" s="19" t="n">
        <x:f>IF(E121=0,"",O121/E121)</x:f>
        <x:v>0.08333333333333333</x:v>
      </x:c>
      <x:c r="AC121" s="19" t="n">
        <x:f>IF(E121=0,"",P121/E121)</x:f>
        <x:v>0.016666666666666666</x:v>
      </x:c>
      <x:c r="AD121" s="20" t="n">
        <x:f>IF(Q121=0,"",100*(R121-S121)/Q121)</x:f>
        <x:v>52.63157894736842</x:v>
      </x:c>
      <x:c r="AE121" s="19" t="n">
        <x:f>IF(F121=0,"",G121/F121)</x:f>
        <x:v>0.029999954341443813</x:v>
      </x:c>
      <x:c r="AF121" s="18" t="n">
        <x:f>ROUND(I121-(F121-G121-H121),2)</x:f>
        <x:v>0</x:v>
      </x:c>
    </x:row>
    <x:row r="122" ht="24" customHeight="1">
      <x:c r="A122" s="14" t="n">
        <x:v>45200</x:v>
      </x:c>
      <x:c r="B122" s="2" t="str">
        <x:v>B2B</x:v>
      </x:c>
      <x:c r="C122" s="2" t="str">
        <x:v>Sudeste</x:v>
      </x:c>
      <x:c r="D122" s="2" t="str">
        <x:v>M-0117</x:v>
      </x:c>
      <x:c r="E122" s="16" t="n">
        <x:v>82</x:v>
      </x:c>
      <x:c r="F122" s="17" t="n">
        <x:v>95334.83</x:v>
      </x:c>
      <x:c r="G122" s="17" t="n">
        <x:v>2860.04</x:v>
      </x:c>
      <x:c r="H122" s="17" t="n">
        <x:v>1382.36</x:v>
      </x:c>
      <x:c r="I122" s="17" t="n">
        <x:v>91092.43</x:v>
      </x:c>
      <x:c r="J122" s="17" t="n">
        <x:v>51282.65</x:v>
      </x:c>
      <x:c r="K122" s="17" t="n">
        <x:v>2550.59</x:v>
      </x:c>
      <x:c r="L122" s="17" t="n">
        <x:v>2186.22</x:v>
      </x:c>
      <x:c r="M122" s="17" t="n">
        <x:v>1639.66</x:v>
      </x:c>
      <x:c r="N122" s="16" t="n">
        <x:v>23</x:v>
      </x:c>
      <x:c r="O122" s="16" t="n">
        <x:v>6</x:v>
      </x:c>
      <x:c r="P122" s="16" t="n">
        <x:v>2</x:v>
      </x:c>
      <x:c r="Q122" s="16" t="n">
        <x:v>26</x:v>
      </x:c>
      <x:c r="R122" s="16" t="n">
        <x:v>18</x:v>
      </x:c>
      <x:c r="S122" s="16" t="n">
        <x:v>4</x:v>
      </x:c>
      <x:c r="T122" s="15" t="n">
        <x:f>YEAR(A122)</x:f>
        <x:v>2023</x:v>
      </x:c>
      <x:c r="U122" s="15" t="n">
        <x:f>ROUNDUP(MONTH(A122)/3,0)</x:f>
        <x:v>4</x:v>
      </x:c>
      <x:c r="V122" s="18" t="n">
        <x:f>I122-J122</x:f>
        <x:v>39809.77999999999</x:v>
      </x:c>
      <x:c r="W122" s="19" t="n">
        <x:f>IF(I122=0,"",V122/I122)</x:f>
        <x:v>0.4370262161191659</x:v>
      </x:c>
      <x:c r="X122" s="18" t="n">
        <x:f>I122-J122-K122-L122-M122</x:f>
        <x:v>33433.30999999998</x:v>
      </x:c>
      <x:c r="Y122" s="19" t="n">
        <x:f>IF(I122=0,"",X122/I122)</x:f>
        <x:v>0.3670262172169519</x:v>
      </x:c>
      <x:c r="Z122" s="18" t="n">
        <x:f>IF(E122=0,"",F122/E122)</x:f>
        <x:v>1162.6198780487805</x:v>
      </x:c>
      <x:c r="AA122" s="18" t="n">
        <x:f>IF(N122=0,"",M122/N122)</x:f>
        <x:v>71.28956521739131</x:v>
      </x:c>
      <x:c r="AB122" s="19" t="n">
        <x:f>IF(E122=0,"",O122/E122)</x:f>
        <x:v>0.07317073170731707</x:v>
      </x:c>
      <x:c r="AC122" s="19" t="n">
        <x:f>IF(E122=0,"",P122/E122)</x:f>
        <x:v>0.024390243902439025</x:v>
      </x:c>
      <x:c r="AD122" s="20" t="n">
        <x:f>IF(Q122=0,"",100*(R122-S122)/Q122)</x:f>
        <x:v>53.84615384615385</x:v>
      </x:c>
      <x:c r="AE122" s="19" t="n">
        <x:f>IF(F122=0,"",G122/F122)</x:f>
        <x:v>0.02999994860220551</x:v>
      </x:c>
      <x:c r="AF122" s="18" t="n">
        <x:f>ROUND(I122-(F122-G122-H122),2)</x:f>
        <x:v>0</x:v>
      </x:c>
    </x:row>
    <x:row r="123" ht="24" customHeight="1">
      <x:c r="A123" s="14" t="n">
        <x:v>45200</x:v>
      </x:c>
      <x:c r="B123" s="2" t="str">
        <x:v>B2B</x:v>
      </x:c>
      <x:c r="C123" s="2" t="str">
        <x:v>Nordeste</x:v>
      </x:c>
      <x:c r="D123" s="2" t="str">
        <x:v>M-0118</x:v>
      </x:c>
      <x:c r="E123" s="16" t="n">
        <x:v>50</x:v>
      </x:c>
      <x:c r="F123" s="17" t="n">
        <x:v>58558.2</x:v>
      </x:c>
      <x:c r="G123" s="17" t="n">
        <x:v>1756.75</x:v>
      </x:c>
      <x:c r="H123" s="17" t="n">
        <x:v>849.09</x:v>
      </x:c>
      <x:c r="I123" s="17" t="n">
        <x:v>55952.36</x:v>
      </x:c>
      <x:c r="J123" s="17" t="n">
        <x:v>30300.18</x:v>
      </x:c>
      <x:c r="K123" s="17" t="n">
        <x:v>1566.67</x:v>
      </x:c>
      <x:c r="L123" s="17" t="n">
        <x:v>1342.86</x:v>
      </x:c>
      <x:c r="M123" s="17" t="n">
        <x:v>1007.14</x:v>
      </x:c>
      <x:c r="N123" s="16" t="n">
        <x:v>14</x:v>
      </x:c>
      <x:c r="O123" s="16" t="n">
        <x:v>4</x:v>
      </x:c>
      <x:c r="P123" s="16" t="n">
        <x:v>1</x:v>
      </x:c>
      <x:c r="Q123" s="16" t="n">
        <x:v>16</x:v>
      </x:c>
      <x:c r="R123" s="16" t="n">
        <x:v>11</x:v>
      </x:c>
      <x:c r="S123" s="16" t="n">
        <x:v>2</x:v>
      </x:c>
      <x:c r="T123" s="15" t="n">
        <x:f>YEAR(A123)</x:f>
        <x:v>2023</x:v>
      </x:c>
      <x:c r="U123" s="15" t="n">
        <x:f>ROUNDUP(MONTH(A123)/3,0)</x:f>
        <x:v>4</x:v>
      </x:c>
      <x:c r="V123" s="18" t="n">
        <x:f>I123-J123</x:f>
        <x:v>25652.18</x:v>
      </x:c>
      <x:c r="W123" s="19" t="n">
        <x:f>IF(I123=0,"",V123/I123)</x:f>
        <x:v>0.4584646652974066</x:v>
      </x:c>
      <x:c r="X123" s="18" t="n">
        <x:f>I123-J123-K123-L123-M123</x:f>
        <x:v>21735.510000000002</x:v>
      </x:c>
      <x:c r="Y123" s="19" t="n">
        <x:f>IF(I123=0,"",X123/I123)</x:f>
        <x:v>0.38846457951014046</x:v>
      </x:c>
      <x:c r="Z123" s="18" t="n">
        <x:f>IF(E123=0,"",F123/E123)</x:f>
        <x:v>1171.164</x:v>
      </x:c>
      <x:c r="AA123" s="18" t="n">
        <x:f>IF(N123=0,"",M123/N123)</x:f>
        <x:v>71.93857142857142</x:v>
      </x:c>
      <x:c r="AB123" s="19" t="n">
        <x:f>IF(E123=0,"",O123/E123)</x:f>
        <x:v>0.08</x:v>
      </x:c>
      <x:c r="AC123" s="19" t="n">
        <x:f>IF(E123=0,"",P123/E123)</x:f>
        <x:v>0.02</x:v>
      </x:c>
      <x:c r="AD123" s="20" t="n">
        <x:f>IF(Q123=0,"",100*(R123-S123)/Q123)</x:f>
        <x:v>56.25</x:v>
      </x:c>
      <x:c r="AE123" s="19" t="n">
        <x:f>IF(F123=0,"",G123/F123)</x:f>
        <x:v>0.030000068308110566</x:v>
      </x:c>
      <x:c r="AF123" s="18" t="n">
        <x:f>ROUND(I123-(F123-G123-H123),2)</x:f>
        <x:v>0</x:v>
      </x:c>
    </x:row>
    <x:row r="124" ht="24" customHeight="1">
      <x:c r="A124" s="14" t="n">
        <x:v>45200</x:v>
      </x:c>
      <x:c r="B124" s="2" t="str">
        <x:v>B2B</x:v>
      </x:c>
      <x:c r="C124" s="2" t="str">
        <x:v>Sul</x:v>
      </x:c>
      <x:c r="D124" s="2" t="str">
        <x:v>M-0119</x:v>
      </x:c>
      <x:c r="E124" s="16" t="n">
        <x:v>42</x:v>
      </x:c>
      <x:c r="F124" s="17" t="n">
        <x:v>48367.13</x:v>
      </x:c>
      <x:c r="G124" s="17" t="n">
        <x:v>1451.01</x:v>
      </x:c>
      <x:c r="H124" s="17" t="n">
        <x:v>701.32</x:v>
      </x:c>
      <x:c r="I124" s="17" t="n">
        <x:v>46214.8</x:v>
      </x:c>
      <x:c r="J124" s="17" t="n">
        <x:v>25592.09</x:v>
      </x:c>
      <x:c r="K124" s="17" t="n">
        <x:v>1294.01</x:v>
      </x:c>
      <x:c r="L124" s="17" t="n">
        <x:v>1109.16</x:v>
      </x:c>
      <x:c r="M124" s="17" t="n">
        <x:v>831.87</x:v>
      </x:c>
      <x:c r="N124" s="16" t="n">
        <x:v>12</x:v>
      </x:c>
      <x:c r="O124" s="16" t="n">
        <x:v>3</x:v>
      </x:c>
      <x:c r="P124" s="16" t="n">
        <x:v>1</x:v>
      </x:c>
      <x:c r="Q124" s="16" t="n">
        <x:v>13</x:v>
      </x:c>
      <x:c r="R124" s="16" t="n">
        <x:v>9</x:v>
      </x:c>
      <x:c r="S124" s="16" t="n">
        <x:v>2</x:v>
      </x:c>
      <x:c r="T124" s="15" t="n">
        <x:f>YEAR(A124)</x:f>
        <x:v>2023</x:v>
      </x:c>
      <x:c r="U124" s="15" t="n">
        <x:f>ROUNDUP(MONTH(A124)/3,0)</x:f>
        <x:v>4</x:v>
      </x:c>
      <x:c r="V124" s="18" t="n">
        <x:f>I124-J124</x:f>
        <x:v>20622.710000000003</x:v>
      </x:c>
      <x:c r="W124" s="19" t="n">
        <x:f>IF(I124=0,"",V124/I124)</x:f>
        <x:v>0.4462360542510192</x:v>
      </x:c>
      <x:c r="X124" s="18" t="n">
        <x:f>I124-J124-K124-L124-M124</x:f>
        <x:v>17387.670000000006</x:v>
      </x:c>
      <x:c r="Y124" s="19" t="n">
        <x:f>IF(I124=0,"",X124/I124)</x:f>
        <x:v>0.3762359676986594</x:v>
      </x:c>
      <x:c r="Z124" s="18" t="n">
        <x:f>IF(E124=0,"",F124/E124)</x:f>
        <x:v>1151.5983333333334</x:v>
      </x:c>
      <x:c r="AA124" s="18" t="n">
        <x:f>IF(N124=0,"",M124/N124)</x:f>
        <x:v>69.3225</x:v>
      </x:c>
      <x:c r="AB124" s="19" t="n">
        <x:f>IF(E124=0,"",O124/E124)</x:f>
        <x:v>0.07142857142857142</x:v>
      </x:c>
      <x:c r="AC124" s="19" t="n">
        <x:f>IF(E124=0,"",P124/E124)</x:f>
        <x:v>0.023809523809523808</x:v>
      </x:c>
      <x:c r="AD124" s="20" t="n">
        <x:f>IF(Q124=0,"",100*(R124-S124)/Q124)</x:f>
        <x:v>53.84615384615385</x:v>
      </x:c>
      <x:c r="AE124" s="19" t="n">
        <x:f>IF(F124=0,"",G124/F124)</x:f>
        <x:v>0.02999991936672695</x:v>
      </x:c>
      <x:c r="AF124" s="18" t="n">
        <x:f>ROUND(I124-(F124-G124-H124),2)</x:f>
        <x:v>0</x:v>
      </x:c>
    </x:row>
    <x:row r="125" ht="24" customHeight="1">
      <x:c r="A125" s="14" t="n">
        <x:v>45200</x:v>
      </x:c>
      <x:c r="B125" s="2" t="str">
        <x:v>B2B</x:v>
      </x:c>
      <x:c r="C125" s="2" t="str">
        <x:v>Centro-Oeste</x:v>
      </x:c>
      <x:c r="D125" s="2" t="str">
        <x:v>M-0120</x:v>
      </x:c>
      <x:c r="E125" s="16" t="n">
        <x:v>37</x:v>
      </x:c>
      <x:c r="F125" s="17" t="n">
        <x:v>42612.84</x:v>
      </x:c>
      <x:c r="G125" s="17" t="n">
        <x:v>1278.39</x:v>
      </x:c>
      <x:c r="H125" s="17" t="n">
        <x:v>617.89</x:v>
      </x:c>
      <x:c r="I125" s="17" t="n">
        <x:v>40716.56</x:v>
      </x:c>
      <x:c r="J125" s="17" t="n">
        <x:v>21387.61</x:v>
      </x:c>
      <x:c r="K125" s="17" t="n">
        <x:v>1140.06</x:v>
      </x:c>
      <x:c r="L125" s="17" t="n">
        <x:v>977.2</x:v>
      </x:c>
      <x:c r="M125" s="17" t="n">
        <x:v>732.9</x:v>
      </x:c>
      <x:c r="N125" s="16" t="n">
        <x:v>10</x:v>
      </x:c>
      <x:c r="O125" s="16" t="n">
        <x:v>3</x:v>
      </x:c>
      <x:c r="P125" s="16" t="n">
        <x:v>1</x:v>
      </x:c>
      <x:c r="Q125" s="16" t="n">
        <x:v>12</x:v>
      </x:c>
      <x:c r="R125" s="16" t="n">
        <x:v>8</x:v>
      </x:c>
      <x:c r="S125" s="16" t="n">
        <x:v>2</x:v>
      </x:c>
      <x:c r="T125" s="15" t="n">
        <x:f>YEAR(A125)</x:f>
        <x:v>2023</x:v>
      </x:c>
      <x:c r="U125" s="15" t="n">
        <x:f>ROUNDUP(MONTH(A125)/3,0)</x:f>
        <x:v>4</x:v>
      </x:c>
      <x:c r="V125" s="18" t="n">
        <x:f>I125-J125</x:f>
        <x:v>19328.949999999997</x:v>
      </x:c>
      <x:c r="W125" s="19" t="n">
        <x:f>IF(I125=0,"",V125/I125)</x:f>
        <x:v>0.47471962267932255</x:v>
      </x:c>
      <x:c r="X125" s="18" t="n">
        <x:f>I125-J125-K125-L125-M125</x:f>
        <x:v>16478.789999999994</x:v>
      </x:c>
      <x:c r="Y125" s="19" t="n">
        <x:f>IF(I125=0,"",X125/I125)</x:f>
        <x:v>0.4047196030312972</x:v>
      </x:c>
      <x:c r="Z125" s="18" t="n">
        <x:f>IF(E125=0,"",F125/E125)</x:f>
        <x:v>1151.6983783783783</x:v>
      </x:c>
      <x:c r="AA125" s="18" t="n">
        <x:f>IF(N125=0,"",M125/N125)</x:f>
        <x:v>73.28999999999999</x:v>
      </x:c>
      <x:c r="AB125" s="19" t="n">
        <x:f>IF(E125=0,"",O125/E125)</x:f>
        <x:v>0.08108108108108109</x:v>
      </x:c>
      <x:c r="AC125" s="19" t="n">
        <x:f>IF(E125=0,"",P125/E125)</x:f>
        <x:v>0.02702702702702703</x:v>
      </x:c>
      <x:c r="AD125" s="20" t="n">
        <x:f>IF(Q125=0,"",100*(R125-S125)/Q125)</x:f>
        <x:v>50</x:v>
      </x:c>
      <x:c r="AE125" s="19" t="n">
        <x:f>IF(F125=0,"",G125/F125)</x:f>
        <x:v>0.03000011264210506</x:v>
      </x:c>
      <x:c r="AF125" s="18" t="n">
        <x:f>ROUND(I125-(F125-G125-H125),2)</x:f>
        <x:v>0</x:v>
      </x:c>
    </x:row>
    <x:row r="126" ht="24" customHeight="1">
      <x:c r="A126" s="14" t="n">
        <x:v>45231</x:v>
      </x:c>
      <x:c r="B126" s="2" t="str">
        <x:v>E-commerce</x:v>
      </x:c>
      <x:c r="C126" s="2" t="str">
        <x:v>Sudeste</x:v>
      </x:c>
      <x:c r="D126" s="2" t="str">
        <x:v>M-0121</x:v>
      </x:c>
      <x:c r="E126" s="16" t="n">
        <x:v>210</x:v>
      </x:c>
      <x:c r="F126" s="17" t="n">
        <x:v>243850.56</x:v>
      </x:c>
      <x:c r="G126" s="17" t="n">
        <x:v>7450.99</x:v>
      </x:c>
      <x:c r="H126" s="17" t="n">
        <x:v>3657.76</x:v>
      </x:c>
      <x:c r="I126" s="17" t="n">
        <x:v>232741.81</x:v>
      </x:c>
      <x:c r="J126" s="17" t="n">
        <x:v>121695.34</x:v>
      </x:c>
      <x:c r="K126" s="17" t="n">
        <x:v>11637.09</x:v>
      </x:c>
      <x:c r="L126" s="17" t="n">
        <x:v>5585.8</x:v>
      </x:c>
      <x:c r="M126" s="17" t="n">
        <x:v>17455.64</x:v>
      </x:c>
      <x:c r="N126" s="16" t="n">
        <x:v>109</x:v>
      </x:c>
      <x:c r="O126" s="16" t="n">
        <x:v>17</x:v>
      </x:c>
      <x:c r="P126" s="16" t="n">
        <x:v>5</x:v>
      </x:c>
      <x:c r="Q126" s="16" t="n">
        <x:v>67</x:v>
      </x:c>
      <x:c r="R126" s="16" t="n">
        <x:v>46</x:v>
      </x:c>
      <x:c r="S126" s="16" t="n">
        <x:v>9</x:v>
      </x:c>
      <x:c r="T126" s="15" t="n">
        <x:f>YEAR(A126)</x:f>
        <x:v>2023</x:v>
      </x:c>
      <x:c r="U126" s="15" t="n">
        <x:f>ROUNDUP(MONTH(A126)/3,0)</x:f>
        <x:v>4</x:v>
      </x:c>
      <x:c r="V126" s="18" t="n">
        <x:f>I126-J126</x:f>
        <x:v>111046.47</x:v>
      </x:c>
      <x:c r="W126" s="19" t="n">
        <x:f>IF(I126=0,"",V126/I126)</x:f>
        <x:v>0.4771229973677699</x:v>
      </x:c>
      <x:c r="X126" s="18" t="n">
        <x:f>I126-J126-K126-L126-M126</x:f>
        <x:v>76367.94</x:v>
      </x:c>
      <x:c r="Y126" s="19" t="n">
        <x:f>IF(I126=0,"",X126/I126)</x:f>
        <x:v>0.32812299603582185</x:v>
      </x:c>
      <x:c r="Z126" s="18" t="n">
        <x:f>IF(E126=0,"",F126/E126)</x:f>
        <x:v>1161.193142857143</x:v>
      </x:c>
      <x:c r="AA126" s="18" t="n">
        <x:f>IF(N126=0,"",M126/N126)</x:f>
        <x:v>160.1434862385321</x:v>
      </x:c>
      <x:c r="AB126" s="19" t="n">
        <x:f>IF(E126=0,"",O126/E126)</x:f>
        <x:v>0.08095238095238096</x:v>
      </x:c>
      <x:c r="AC126" s="19" t="n">
        <x:f>IF(E126=0,"",P126/E126)</x:f>
        <x:v>0.023809523809523808</x:v>
      </x:c>
      <x:c r="AD126" s="20" t="n">
        <x:f>IF(Q126=0,"",100*(R126-S126)/Q126)</x:f>
        <x:v>55.223880597014926</x:v>
      </x:c>
      <x:c r="AE126" s="19" t="n">
        <x:f>IF(F126=0,"",G126/F126)</x:f>
        <x:v>0.030555558289470403</x:v>
      </x:c>
      <x:c r="AF126" s="18" t="n">
        <x:f>ROUND(I126-(F126-G126-H126),2)</x:f>
        <x:v>0</x:v>
      </x:c>
    </x:row>
    <x:row r="127" ht="24" customHeight="1">
      <x:c r="A127" s="14" t="n">
        <x:v>45231</x:v>
      </x:c>
      <x:c r="B127" s="2" t="str">
        <x:v>E-commerce</x:v>
      </x:c>
      <x:c r="C127" s="2" t="str">
        <x:v>Nordeste</x:v>
      </x:c>
      <x:c r="D127" s="2" t="str">
        <x:v>M-0122</x:v>
      </x:c>
      <x:c r="E127" s="16" t="n">
        <x:v>148</x:v>
      </x:c>
      <x:c r="F127" s="17" t="n">
        <x:v>172104.04</x:v>
      </x:c>
      <x:c r="G127" s="17" t="n">
        <x:v>5258.73</x:v>
      </x:c>
      <x:c r="H127" s="17" t="n">
        <x:v>2581.56</x:v>
      </x:c>
      <x:c r="I127" s="17" t="n">
        <x:v>164263.75</x:v>
      </x:c>
      <x:c r="J127" s="17" t="n">
        <x:v>91179.71</x:v>
      </x:c>
      <x:c r="K127" s="17" t="n">
        <x:v>8213.19</x:v>
      </x:c>
      <x:c r="L127" s="17" t="n">
        <x:v>3942.33</x:v>
      </x:c>
      <x:c r="M127" s="17" t="n">
        <x:v>12319.78</x:v>
      </x:c>
      <x:c r="N127" s="16" t="n">
        <x:v>77</x:v>
      </x:c>
      <x:c r="O127" s="16" t="n">
        <x:v>12</x:v>
      </x:c>
      <x:c r="P127" s="16" t="n">
        <x:v>3</x:v>
      </x:c>
      <x:c r="Q127" s="16" t="n">
        <x:v>47</x:v>
      </x:c>
      <x:c r="R127" s="16" t="n">
        <x:v>32</x:v>
      </x:c>
      <x:c r="S127" s="16" t="n">
        <x:v>7</x:v>
      </x:c>
      <x:c r="T127" s="15" t="n">
        <x:f>YEAR(A127)</x:f>
        <x:v>2023</x:v>
      </x:c>
      <x:c r="U127" s="15" t="n">
        <x:f>ROUNDUP(MONTH(A127)/3,0)</x:f>
        <x:v>4</x:v>
      </x:c>
      <x:c r="V127" s="18" t="n">
        <x:f>I127-J127</x:f>
        <x:v>73084.04</x:v>
      </x:c>
      <x:c r="W127" s="19" t="n">
        <x:f>IF(I127=0,"",V127/I127)</x:f>
        <x:v>0.44491885762987876</x:v>
      </x:c>
      <x:c r="X127" s="18" t="n">
        <x:f>I127-J127-K127-L127-M127</x:f>
        <x:v>48608.73999999999</x:v>
      </x:c>
      <x:c r="Y127" s="19" t="n">
        <x:f>IF(I127=0,"",X127/I127)</x:f>
        <x:v>0.29591885002016566</x:v>
      </x:c>
      <x:c r="Z127" s="18" t="n">
        <x:f>IF(E127=0,"",F127/E127)</x:f>
        <x:v>1162.8651351351352</x:v>
      </x:c>
      <x:c r="AA127" s="18" t="n">
        <x:f>IF(N127=0,"",M127/N127)</x:f>
        <x:v>159.99714285714288</x:v>
      </x:c>
      <x:c r="AB127" s="19" t="n">
        <x:f>IF(E127=0,"",O127/E127)</x:f>
        <x:v>0.08108108108108109</x:v>
      </x:c>
      <x:c r="AC127" s="19" t="n">
        <x:f>IF(E127=0,"",P127/E127)</x:f>
        <x:v>0.02027027027027027</x:v>
      </x:c>
      <x:c r="AD127" s="20" t="n">
        <x:f>IF(Q127=0,"",100*(R127-S127)/Q127)</x:f>
        <x:v>53.191489361702125</x:v>
      </x:c>
      <x:c r="AE127" s="19" t="n">
        <x:f>IF(F127=0,"",G127/F127)</x:f>
        <x:v>0.030555529085778577</x:v>
      </x:c>
      <x:c r="AF127" s="18" t="n">
        <x:f>ROUND(I127-(F127-G127-H127),2)</x:f>
        <x:v>0</x:v>
      </x:c>
    </x:row>
    <x:row r="128" ht="24" customHeight="1">
      <x:c r="A128" s="14" t="n">
        <x:v>45231</x:v>
      </x:c>
      <x:c r="B128" s="2" t="str">
        <x:v>E-commerce</x:v>
      </x:c>
      <x:c r="C128" s="2" t="str">
        <x:v>Sul</x:v>
      </x:c>
      <x:c r="D128" s="2" t="str">
        <x:v>M-0123</x:v>
      </x:c>
      <x:c r="E128" s="16" t="n">
        <x:v>100</x:v>
      </x:c>
      <x:c r="F128" s="17" t="n">
        <x:v>116084.55</x:v>
      </x:c>
      <x:c r="G128" s="17" t="n">
        <x:v>3547.03</x:v>
      </x:c>
      <x:c r="H128" s="17" t="n">
        <x:v>1741.27</x:v>
      </x:c>
      <x:c r="I128" s="17" t="n">
        <x:v>110796.25</x:v>
      </x:c>
      <x:c r="J128" s="17" t="n">
        <x:v>59567.59</x:v>
      </x:c>
      <x:c r="K128" s="17" t="n">
        <x:v>5539.81</x:v>
      </x:c>
      <x:c r="L128" s="17" t="n">
        <x:v>2659.11</x:v>
      </x:c>
      <x:c r="M128" s="17" t="n">
        <x:v>8309.72</x:v>
      </x:c>
      <x:c r="N128" s="16" t="n">
        <x:v>52</x:v>
      </x:c>
      <x:c r="O128" s="16" t="n">
        <x:v>8</x:v>
      </x:c>
      <x:c r="P128" s="16" t="n">
        <x:v>2</x:v>
      </x:c>
      <x:c r="Q128" s="16" t="n">
        <x:v>32</x:v>
      </x:c>
      <x:c r="R128" s="16" t="n">
        <x:v>22</x:v>
      </x:c>
      <x:c r="S128" s="16" t="n">
        <x:v>4</x:v>
      </x:c>
      <x:c r="T128" s="15" t="n">
        <x:f>YEAR(A128)</x:f>
        <x:v>2023</x:v>
      </x:c>
      <x:c r="U128" s="15" t="n">
        <x:f>ROUNDUP(MONTH(A128)/3,0)</x:f>
        <x:v>4</x:v>
      </x:c>
      <x:c r="V128" s="18" t="n">
        <x:f>I128-J128</x:f>
        <x:v>51228.66</x:v>
      </x:c>
      <x:c r="W128" s="19" t="n">
        <x:f>IF(I128=0,"",V128/I128)</x:f>
        <x:v>0.4623681758182249</x:v>
      </x:c>
      <x:c r="X128" s="18" t="n">
        <x:f>I128-J128-K128-L128-M128</x:f>
        <x:v>34720.020000000004</x:v>
      </x:c>
      <x:c r="Y128" s="19" t="n">
        <x:f>IF(I128=0,"",X128/I128)</x:f>
        <x:v>0.3133681871001952</x:v>
      </x:c>
      <x:c r="Z128" s="18" t="n">
        <x:f>IF(E128=0,"",F128/E128)</x:f>
        <x:v>1160.8455000000001</x:v>
      </x:c>
      <x:c r="AA128" s="18" t="n">
        <x:f>IF(N128=0,"",M128/N128)</x:f>
        <x:v>159.8023076923077</x:v>
      </x:c>
      <x:c r="AB128" s="19" t="n">
        <x:f>IF(E128=0,"",O128/E128)</x:f>
        <x:v>0.08</x:v>
      </x:c>
      <x:c r="AC128" s="19" t="n">
        <x:f>IF(E128=0,"",P128/E128)</x:f>
        <x:v>0.02</x:v>
      </x:c>
      <x:c r="AD128" s="20" t="n">
        <x:f>IF(Q128=0,"",100*(R128-S128)/Q128)</x:f>
        <x:v>56.25</x:v>
      </x:c>
      <x:c r="AE128" s="19" t="n">
        <x:f>IF(F128=0,"",G128/F128)</x:f>
        <x:v>0.0305555735022447</x:v>
      </x:c>
      <x:c r="AF128" s="18" t="n">
        <x:f>ROUND(I128-(F128-G128-H128),2)</x:f>
        <x:v>0</x:v>
      </x:c>
    </x:row>
    <x:row r="129" ht="24" customHeight="1">
      <x:c r="A129" s="14" t="n">
        <x:v>45231</x:v>
      </x:c>
      <x:c r="B129" s="2" t="str">
        <x:v>E-commerce</x:v>
      </x:c>
      <x:c r="C129" s="2" t="str">
        <x:v>Centro-Oeste</x:v>
      </x:c>
      <x:c r="D129" s="2" t="str">
        <x:v>M-0124</x:v>
      </x:c>
      <x:c r="E129" s="16" t="n">
        <x:v>79</x:v>
      </x:c>
      <x:c r="F129" s="17" t="n">
        <x:v>92176.35</x:v>
      </x:c>
      <x:c r="G129" s="17" t="n">
        <x:v>2816.5</x:v>
      </x:c>
      <x:c r="H129" s="17" t="n">
        <x:v>1382.65</x:v>
      </x:c>
      <x:c r="I129" s="17" t="n">
        <x:v>87977.2</x:v>
      </x:c>
      <x:c r="J129" s="17" t="n">
        <x:v>49330.99</x:v>
      </x:c>
      <x:c r="K129" s="17" t="n">
        <x:v>4398.86</x:v>
      </x:c>
      <x:c r="L129" s="17" t="n">
        <x:v>2111.45</x:v>
      </x:c>
      <x:c r="M129" s="17" t="n">
        <x:v>6598.29</x:v>
      </x:c>
      <x:c r="N129" s="16" t="n">
        <x:v>41</x:v>
      </x:c>
      <x:c r="O129" s="16" t="n">
        <x:v>6</x:v>
      </x:c>
      <x:c r="P129" s="16" t="n">
        <x:v>2</x:v>
      </x:c>
      <x:c r="Q129" s="16" t="n">
        <x:v>25</x:v>
      </x:c>
      <x:c r="R129" s="16" t="n">
        <x:v>17</x:v>
      </x:c>
      <x:c r="S129" s="16" t="n">
        <x:v>4</x:v>
      </x:c>
      <x:c r="T129" s="15" t="n">
        <x:f>YEAR(A129)</x:f>
        <x:v>2023</x:v>
      </x:c>
      <x:c r="U129" s="15" t="n">
        <x:f>ROUNDUP(MONTH(A129)/3,0)</x:f>
        <x:v>4</x:v>
      </x:c>
      <x:c r="V129" s="18" t="n">
        <x:f>I129-J129</x:f>
        <x:v>38646.21</x:v>
      </x:c>
      <x:c r="W129" s="19" t="n">
        <x:f>IF(I129=0,"",V129/I129)</x:f>
        <x:v>0.43927528950682676</x:v>
      </x:c>
      <x:c r="X129" s="18" t="n">
        <x:f>I129-J129-K129-L129-M129</x:f>
        <x:v>25537.609999999997</x:v>
      </x:c>
      <x:c r="Y129" s="19" t="n">
        <x:f>IF(I129=0,"",X129/I129)</x:f>
        <x:v>0.2902753213332545</x:v>
      </x:c>
      <x:c r="Z129" s="18" t="n">
        <x:f>IF(E129=0,"",F129/E129)</x:f>
        <x:v>1166.7892405063292</x:v>
      </x:c>
      <x:c r="AA129" s="18" t="n">
        <x:f>IF(N129=0,"",M129/N129)</x:f>
        <x:v>160.9339024390244</x:v>
      </x:c>
      <x:c r="AB129" s="19" t="n">
        <x:f>IF(E129=0,"",O129/E129)</x:f>
        <x:v>0.0759493670886076</x:v>
      </x:c>
      <x:c r="AC129" s="19" t="n">
        <x:f>IF(E129=0,"",P129/E129)</x:f>
        <x:v>0.02531645569620253</x:v>
      </x:c>
      <x:c r="AD129" s="20" t="n">
        <x:f>IF(Q129=0,"",100*(R129-S129)/Q129)</x:f>
        <x:v>52</x:v>
      </x:c>
      <x:c r="AE129" s="19" t="n">
        <x:f>IF(F129=0,"",G129/F129)</x:f>
        <x:v>0.030555560075876294</x:v>
      </x:c>
      <x:c r="AF129" s="18" t="n">
        <x:f>ROUND(I129-(F129-G129-H129),2)</x:f>
        <x:v>0</x:v>
      </x:c>
    </x:row>
    <x:row r="130" ht="24" customHeight="1">
      <x:c r="A130" s="14" t="n">
        <x:v>45231</x:v>
      </x:c>
      <x:c r="B130" s="2" t="str">
        <x:v>Lojas</x:v>
      </x:c>
      <x:c r="C130" s="2" t="str">
        <x:v>Sudeste</x:v>
      </x:c>
      <x:c r="D130" s="2" t="str">
        <x:v>M-0125</x:v>
      </x:c>
      <x:c r="E130" s="16" t="n">
        <x:v>170</x:v>
      </x:c>
      <x:c r="F130" s="17" t="n">
        <x:v>197948.4</x:v>
      </x:c>
      <x:c r="G130" s="17" t="n">
        <x:v>6048.42</x:v>
      </x:c>
      <x:c r="H130" s="17" t="n">
        <x:v>2969.23</x:v>
      </x:c>
      <x:c r="I130" s="17" t="n">
        <x:v>188930.75</x:v>
      </x:c>
      <x:c r="J130" s="17" t="n">
        <x:v>105443.78</x:v>
      </x:c>
      <x:c r="K130" s="17" t="n">
        <x:v>5478.99</x:v>
      </x:c>
      <x:c r="L130" s="17" t="n">
        <x:v>4534.34</x:v>
      </x:c>
      <x:c r="M130" s="17" t="n">
        <x:v>3400.75</x:v>
      </x:c>
      <x:c r="N130" s="16" t="n">
        <x:v>48</x:v>
      </x:c>
      <x:c r="O130" s="16" t="n">
        <x:v>14</x:v>
      </x:c>
      <x:c r="P130" s="16" t="n">
        <x:v>4</x:v>
      </x:c>
      <x:c r="Q130" s="16" t="n">
        <x:v>54</x:v>
      </x:c>
      <x:c r="R130" s="16" t="n">
        <x:v>37</x:v>
      </x:c>
      <x:c r="S130" s="16" t="n">
        <x:v>8</x:v>
      </x:c>
      <x:c r="T130" s="15" t="n">
        <x:f>YEAR(A130)</x:f>
        <x:v>2023</x:v>
      </x:c>
      <x:c r="U130" s="15" t="n">
        <x:f>ROUNDUP(MONTH(A130)/3,0)</x:f>
        <x:v>4</x:v>
      </x:c>
      <x:c r="V130" s="18" t="n">
        <x:f>I130-J130</x:f>
        <x:v>83486.97</x:v>
      </x:c>
      <x:c r="W130" s="19" t="n">
        <x:f>IF(I130=0,"",V130/I130)</x:f>
        <x:v>0.441891910131093</x:v>
      </x:c>
      <x:c r="X130" s="18" t="n">
        <x:f>I130-J130-K130-L130-M130</x:f>
        <x:v>70072.89</x:v>
      </x:c>
      <x:c r="Y130" s="19" t="n">
        <x:f>IF(I130=0,"",X130/I130)</x:f>
        <x:v>0.37089192733316306</x:v>
      </x:c>
      <x:c r="Z130" s="18" t="n">
        <x:f>IF(E130=0,"",F130/E130)</x:f>
        <x:v>1164.4023529411763</x:v>
      </x:c>
      <x:c r="AA130" s="18" t="n">
        <x:f>IF(N130=0,"",M130/N130)</x:f>
        <x:v>70.84895833333333</x:v>
      </x:c>
      <x:c r="AB130" s="19" t="n">
        <x:f>IF(E130=0,"",O130/E130)</x:f>
        <x:v>0.08235294117647059</x:v>
      </x:c>
      <x:c r="AC130" s="19" t="n">
        <x:f>IF(E130=0,"",P130/E130)</x:f>
        <x:v>0.023529411764705882</x:v>
      </x:c>
      <x:c r="AD130" s="20" t="n">
        <x:f>IF(Q130=0,"",100*(R130-S130)/Q130)</x:f>
        <x:v>53.7037037037037</x:v>
      </x:c>
      <x:c r="AE130" s="19" t="n">
        <x:f>IF(F130=0,"",G130/F130)</x:f>
        <x:v>0.03055553871615027</x:v>
      </x:c>
      <x:c r="AF130" s="18" t="n">
        <x:f>ROUND(I130-(F130-G130-H130),2)</x:f>
        <x:v>0</x:v>
      </x:c>
    </x:row>
    <x:row r="131" ht="24" customHeight="1">
      <x:c r="A131" s="14" t="n">
        <x:v>45231</x:v>
      </x:c>
      <x:c r="B131" s="2" t="str">
        <x:v>Lojas</x:v>
      </x:c>
      <x:c r="C131" s="2" t="str">
        <x:v>Nordeste</x:v>
      </x:c>
      <x:c r="D131" s="2" t="str">
        <x:v>M-0126</x:v>
      </x:c>
      <x:c r="E131" s="16" t="n">
        <x:v>114</x:v>
      </x:c>
      <x:c r="F131" s="17" t="n">
        <x:v>132557.96</x:v>
      </x:c>
      <x:c r="G131" s="17" t="n">
        <x:v>4050.38</x:v>
      </x:c>
      <x:c r="H131" s="17" t="n">
        <x:v>1988.37</x:v>
      </x:c>
      <x:c r="I131" s="17" t="n">
        <x:v>126519.21</x:v>
      </x:c>
      <x:c r="J131" s="17" t="n">
        <x:v>68446.14</x:v>
      </x:c>
      <x:c r="K131" s="17" t="n">
        <x:v>3669.06</x:v>
      </x:c>
      <x:c r="L131" s="17" t="n">
        <x:v>3036.46</x:v>
      </x:c>
      <x:c r="M131" s="17" t="n">
        <x:v>2277.35</x:v>
      </x:c>
      <x:c r="N131" s="16" t="n">
        <x:v>32</x:v>
      </x:c>
      <x:c r="O131" s="16" t="n">
        <x:v>9</x:v>
      </x:c>
      <x:c r="P131" s="16" t="n">
        <x:v>3</x:v>
      </x:c>
      <x:c r="Q131" s="16" t="n">
        <x:v>36</x:v>
      </x:c>
      <x:c r="R131" s="16" t="n">
        <x:v>24</x:v>
      </x:c>
      <x:c r="S131" s="16" t="n">
        <x:v>5</x:v>
      </x:c>
      <x:c r="T131" s="15" t="n">
        <x:f>YEAR(A131)</x:f>
        <x:v>2023</x:v>
      </x:c>
      <x:c r="U131" s="15" t="n">
        <x:f>ROUNDUP(MONTH(A131)/3,0)</x:f>
        <x:v>4</x:v>
      </x:c>
      <x:c r="V131" s="18" t="n">
        <x:f>I131-J131</x:f>
        <x:v>58073.07000000001</x:v>
      </x:c>
      <x:c r="W131" s="19" t="n">
        <x:f>IF(I131=0,"",V131/I131)</x:f>
        <x:v>0.4590059485828279</x:v>
      </x:c>
      <x:c r="X131" s="18" t="n">
        <x:f>I131-J131-K131-L131-M131</x:f>
        <x:v>49090.20000000001</x:v>
      </x:c>
      <x:c r="Y131" s="19" t="n">
        <x:f>IF(I131=0,"",X131/I131)</x:f>
        <x:v>0.3880059004478451</x:v>
      </x:c>
      <x:c r="Z131" s="18" t="n">
        <x:f>IF(E131=0,"",F131/E131)</x:f>
        <x:v>1162.7891228070175</x:v>
      </x:c>
      <x:c r="AA131" s="18" t="n">
        <x:f>IF(N131=0,"",M131/N131)</x:f>
        <x:v>71.1671875</x:v>
      </x:c>
      <x:c r="AB131" s="19" t="n">
        <x:f>IF(E131=0,"",O131/E131)</x:f>
        <x:v>0.07894736842105263</x:v>
      </x:c>
      <x:c r="AC131" s="19" t="n">
        <x:f>IF(E131=0,"",P131/E131)</x:f>
        <x:v>0.02631578947368421</x:v>
      </x:c>
      <x:c r="AD131" s="20" t="n">
        <x:f>IF(Q131=0,"",100*(R131-S131)/Q131)</x:f>
        <x:v>52.77777777777778</x:v>
      </x:c>
      <x:c r="AE131" s="19" t="n">
        <x:f>IF(F131=0,"",G131/F131)</x:f>
        <x:v>0.030555539629608063</x:v>
      </x:c>
      <x:c r="AF131" s="18" t="n">
        <x:f>ROUND(I131-(F131-G131-H131),2)</x:f>
        <x:v>0</x:v>
      </x:c>
    </x:row>
    <x:row r="132" ht="24" customHeight="1">
      <x:c r="A132" s="14" t="n">
        <x:v>45231</x:v>
      </x:c>
      <x:c r="B132" s="2" t="str">
        <x:v>Lojas</x:v>
      </x:c>
      <x:c r="C132" s="2" t="str">
        <x:v>Sul</x:v>
      </x:c>
      <x:c r="D132" s="2" t="str">
        <x:v>M-0127</x:v>
      </x:c>
      <x:c r="E132" s="16" t="n">
        <x:v>97</x:v>
      </x:c>
      <x:c r="F132" s="17" t="n">
        <x:v>112194.3</x:v>
      </x:c>
      <x:c r="G132" s="17" t="n">
        <x:v>3428.16</x:v>
      </x:c>
      <x:c r="H132" s="17" t="n">
        <x:v>1682.91</x:v>
      </x:c>
      <x:c r="I132" s="17" t="n">
        <x:v>107083.23</x:v>
      </x:c>
      <x:c r="J132" s="17" t="n">
        <x:v>56465.4</x:v>
      </x:c>
      <x:c r="K132" s="17" t="n">
        <x:v>3105.41</x:v>
      </x:c>
      <x:c r="L132" s="17" t="n">
        <x:v>2570</x:v>
      </x:c>
      <x:c r="M132" s="17" t="n">
        <x:v>1927.5</x:v>
      </x:c>
      <x:c r="N132" s="16" t="n">
        <x:v>27</x:v>
      </x:c>
      <x:c r="O132" s="16" t="n">
        <x:v>8</x:v>
      </x:c>
      <x:c r="P132" s="16" t="n">
        <x:v>2</x:v>
      </x:c>
      <x:c r="Q132" s="16" t="n">
        <x:v>31</x:v>
      </x:c>
      <x:c r="R132" s="16" t="n">
        <x:v>21</x:v>
      </x:c>
      <x:c r="S132" s="16" t="n">
        <x:v>4</x:v>
      </x:c>
      <x:c r="T132" s="15" t="n">
        <x:f>YEAR(A132)</x:f>
        <x:v>2023</x:v>
      </x:c>
      <x:c r="U132" s="15" t="n">
        <x:f>ROUNDUP(MONTH(A132)/3,0)</x:f>
        <x:v>4</x:v>
      </x:c>
      <x:c r="V132" s="18" t="n">
        <x:f>I132-J132</x:f>
        <x:v>50617.829999999994</x:v>
      </x:c>
      <x:c r="W132" s="19" t="n">
        <x:f>IF(I132=0,"",V132/I132)</x:f>
        <x:v>0.4726961448585366</x:v>
      </x:c>
      <x:c r="X132" s="18" t="n">
        <x:f>I132-J132-K132-L132-M132</x:f>
        <x:v>43014.92</x:v>
      </x:c>
      <x:c r="Y132" s="19" t="n">
        <x:f>IF(I132=0,"",X132/I132)</x:f>
        <x:v>0.4016961386017213</x:v>
      </x:c>
      <x:c r="Z132" s="18" t="n">
        <x:f>IF(E132=0,"",F132/E132)</x:f>
        <x:v>1156.6422680412372</x:v>
      </x:c>
      <x:c r="AA132" s="18" t="n">
        <x:f>IF(N132=0,"",M132/N132)</x:f>
        <x:v>71.38888888888889</x:v>
      </x:c>
      <x:c r="AB132" s="19" t="n">
        <x:f>IF(E132=0,"",O132/E132)</x:f>
        <x:v>0.08247422680412371</x:v>
      </x:c>
      <x:c r="AC132" s="19" t="n">
        <x:f>IF(E132=0,"",P132/E132)</x:f>
        <x:v>0.020618556701030927</x:v>
      </x:c>
      <x:c r="AD132" s="20" t="n">
        <x:f>IF(Q132=0,"",100*(R132-S132)/Q132)</x:f>
        <x:v>54.83870967741935</x:v>
      </x:c>
      <x:c r="AE132" s="19" t="n">
        <x:f>IF(F132=0,"",G132/F132)</x:f>
        <x:v>0.0305555629831462</x:v>
      </x:c>
      <x:c r="AF132" s="18" t="n">
        <x:f>ROUND(I132-(F132-G132-H132),2)</x:f>
        <x:v>0</x:v>
      </x:c>
    </x:row>
    <x:row r="133" ht="24" customHeight="1">
      <x:c r="A133" s="14" t="n">
        <x:v>45231</x:v>
      </x:c>
      <x:c r="B133" s="2" t="str">
        <x:v>Lojas</x:v>
      </x:c>
      <x:c r="C133" s="2" t="str">
        <x:v>Centro-Oeste</x:v>
      </x:c>
      <x:c r="D133" s="2" t="str">
        <x:v>M-0128</x:v>
      </x:c>
      <x:c r="E133" s="16" t="n">
        <x:v>78</x:v>
      </x:c>
      <x:c r="F133" s="17" t="n">
        <x:v>90839.02</x:v>
      </x:c>
      <x:c r="G133" s="17" t="n">
        <x:v>2775.64</x:v>
      </x:c>
      <x:c r="H133" s="17" t="n">
        <x:v>1362.59</x:v>
      </x:c>
      <x:c r="I133" s="17" t="n">
        <x:v>86700.79</x:v>
      </x:c>
      <x:c r="J133" s="17" t="n">
        <x:v>49133.77</x:v>
      </x:c>
      <x:c r="K133" s="17" t="n">
        <x:v>2514.32</x:v>
      </x:c>
      <x:c r="L133" s="17" t="n">
        <x:v>2080.82</x:v>
      </x:c>
      <x:c r="M133" s="17" t="n">
        <x:v>1560.61</x:v>
      </x:c>
      <x:c r="N133" s="16" t="n">
        <x:v>22</x:v>
      </x:c>
      <x:c r="O133" s="16" t="n">
        <x:v>6</x:v>
      </x:c>
      <x:c r="P133" s="16" t="n">
        <x:v>2</x:v>
      </x:c>
      <x:c r="Q133" s="16" t="n">
        <x:v>25</x:v>
      </x:c>
      <x:c r="R133" s="16" t="n">
        <x:v>17</x:v>
      </x:c>
      <x:c r="S133" s="16" t="n">
        <x:v>4</x:v>
      </x:c>
      <x:c r="T133" s="15" t="n">
        <x:f>YEAR(A133)</x:f>
        <x:v>2023</x:v>
      </x:c>
      <x:c r="U133" s="15" t="n">
        <x:f>ROUNDUP(MONTH(A133)/3,0)</x:f>
        <x:v>4</x:v>
      </x:c>
      <x:c r="V133" s="18" t="n">
        <x:f>I133-J133</x:f>
        <x:v>37567.02</x:v>
      </x:c>
      <x:c r="W133" s="19" t="n">
        <x:f>IF(I133=0,"",V133/I133)</x:f>
        <x:v>0.4332950138055259</x:v>
      </x:c>
      <x:c r="X133" s="18" t="n">
        <x:f>I133-J133-K133-L133-M133</x:f>
        <x:v>31411.269999999997</x:v>
      </x:c>
      <x:c r="Y133" s="19" t="n">
        <x:f>IF(I133=0,"",X133/I133)</x:f>
        <x:v>0.36229508404710037</x:v>
      </x:c>
      <x:c r="Z133" s="18" t="n">
        <x:f>IF(E133=0,"",F133/E133)</x:f>
        <x:v>1164.6028205128205</x:v>
      </x:c>
      <x:c r="AA133" s="18" t="n">
        <x:f>IF(N133=0,"",M133/N133)</x:f>
        <x:v>70.93681818181818</x:v>
      </x:c>
      <x:c r="AB133" s="19" t="n">
        <x:f>IF(E133=0,"",O133/E133)</x:f>
        <x:v>0.07692307692307693</x:v>
      </x:c>
      <x:c r="AC133" s="19" t="n">
        <x:f>IF(E133=0,"",P133/E133)</x:f>
        <x:v>0.02564102564102564</x:v>
      </x:c>
      <x:c r="AD133" s="20" t="n">
        <x:f>IF(Q133=0,"",100*(R133-S133)/Q133)</x:f>
        <x:v>52</x:v>
      </x:c>
      <x:c r="AE133" s="19" t="n">
        <x:f>IF(F133=0,"",G133/F133)</x:f>
        <x:v>0.030555591638923445</x:v>
      </x:c>
      <x:c r="AF133" s="18" t="n">
        <x:f>ROUND(I133-(F133-G133-H133),2)</x:f>
        <x:v>0</x:v>
      </x:c>
    </x:row>
    <x:row r="134" ht="24" customHeight="1">
      <x:c r="A134" s="14" t="n">
        <x:v>45231</x:v>
      </x:c>
      <x:c r="B134" s="2" t="str">
        <x:v>B2B</x:v>
      </x:c>
      <x:c r="C134" s="2" t="str">
        <x:v>Sudeste</x:v>
      </x:c>
      <x:c r="D134" s="2" t="str">
        <x:v>M-0129</x:v>
      </x:c>
      <x:c r="E134" s="16" t="n">
        <x:v>120</x:v>
      </x:c>
      <x:c r="F134" s="17" t="n">
        <x:v>140025.9</x:v>
      </x:c>
      <x:c r="G134" s="17" t="n">
        <x:v>4278.57</x:v>
      </x:c>
      <x:c r="H134" s="17" t="n">
        <x:v>2100.39</x:v>
      </x:c>
      <x:c r="I134" s="17" t="n">
        <x:v>133646.94</x:v>
      </x:c>
      <x:c r="J134" s="17" t="n">
        <x:v>72649.32</x:v>
      </x:c>
      <x:c r="K134" s="17" t="n">
        <x:v>3875.76</x:v>
      </x:c>
      <x:c r="L134" s="17" t="n">
        <x:v>3207.53</x:v>
      </x:c>
      <x:c r="M134" s="17" t="n">
        <x:v>2405.64</x:v>
      </x:c>
      <x:c r="N134" s="16" t="n">
        <x:v>34</x:v>
      </x:c>
      <x:c r="O134" s="16" t="n">
        <x:v>10</x:v>
      </x:c>
      <x:c r="P134" s="16" t="n">
        <x:v>3</x:v>
      </x:c>
      <x:c r="Q134" s="16" t="n">
        <x:v>38</x:v>
      </x:c>
      <x:c r="R134" s="16" t="n">
        <x:v>26</x:v>
      </x:c>
      <x:c r="S134" s="16" t="n">
        <x:v>5</x:v>
      </x:c>
      <x:c r="T134" s="15" t="n">
        <x:f>YEAR(A134)</x:f>
        <x:v>2023</x:v>
      </x:c>
      <x:c r="U134" s="15" t="n">
        <x:f>ROUNDUP(MONTH(A134)/3,0)</x:f>
        <x:v>4</x:v>
      </x:c>
      <x:c r="V134" s="18" t="n">
        <x:f>I134-J134</x:f>
        <x:v>60997.619999999995</x:v>
      </x:c>
      <x:c r="W134" s="19" t="n">
        <x:f>IF(I134=0,"",V134/I134)</x:f>
        <x:v>0.45640865402529973</x:v>
      </x:c>
      <x:c r="X134" s="18" t="n">
        <x:f>I134-J134-K134-L134-M134</x:f>
        <x:v>51508.689999999995</x:v>
      </x:c>
      <x:c r="Y134" s="19" t="n">
        <x:f>IF(I134=0,"",X134/I134)</x:f>
        <x:v>0.38540867452707855</x:v>
      </x:c>
      <x:c r="Z134" s="18" t="n">
        <x:f>IF(E134=0,"",F134/E134)</x:f>
        <x:v>1166.8825</x:v>
      </x:c>
      <x:c r="AA134" s="18" t="n">
        <x:f>IF(N134=0,"",M134/N134)</x:f>
        <x:v>70.75411764705882</x:v>
      </x:c>
      <x:c r="AB134" s="19" t="n">
        <x:f>IF(E134=0,"",O134/E134)</x:f>
        <x:v>0.08333333333333333</x:v>
      </x:c>
      <x:c r="AC134" s="19" t="n">
        <x:f>IF(E134=0,"",P134/E134)</x:f>
        <x:v>0.025</x:v>
      </x:c>
      <x:c r="AD134" s="20" t="n">
        <x:f>IF(Q134=0,"",100*(R134-S134)/Q134)</x:f>
        <x:v>55.26315789473684</x:v>
      </x:c>
      <x:c r="AE134" s="19" t="n">
        <x:f>IF(F134=0,"",G134/F134)</x:f>
        <x:v>0.03055556150683552</x:v>
      </x:c>
      <x:c r="AF134" s="18" t="n">
        <x:f>ROUND(I134-(F134-G134-H134),2)</x:f>
        <x:v>0</x:v>
      </x:c>
    </x:row>
    <x:row r="135" ht="24" customHeight="1">
      <x:c r="A135" s="14" t="n">
        <x:v>45231</x:v>
      </x:c>
      <x:c r="B135" s="2" t="str">
        <x:v>B2B</x:v>
      </x:c>
      <x:c r="C135" s="2" t="str">
        <x:v>Nordeste</x:v>
      </x:c>
      <x:c r="D135" s="2" t="str">
        <x:v>M-0130</x:v>
      </x:c>
      <x:c r="E135" s="16" t="n">
        <x:v>74</x:v>
      </x:c>
      <x:c r="F135" s="17" t="n">
        <x:v>85970.7</x:v>
      </x:c>
      <x:c r="G135" s="17" t="n">
        <x:v>2626.88</x:v>
      </x:c>
      <x:c r="H135" s="17" t="n">
        <x:v>1289.56</x:v>
      </x:c>
      <x:c r="I135" s="17" t="n">
        <x:v>82054.26</x:v>
      </x:c>
      <x:c r="J135" s="17" t="n">
        <x:v>44609.46</x:v>
      </x:c>
      <x:c r="K135" s="17" t="n">
        <x:v>2379.57</x:v>
      </x:c>
      <x:c r="L135" s="17" t="n">
        <x:v>1969.3</x:v>
      </x:c>
      <x:c r="M135" s="17" t="n">
        <x:v>1476.98</x:v>
      </x:c>
      <x:c r="N135" s="16" t="n">
        <x:v>21</x:v>
      </x:c>
      <x:c r="O135" s="16" t="n">
        <x:v>6</x:v>
      </x:c>
      <x:c r="P135" s="16" t="n">
        <x:v>2</x:v>
      </x:c>
      <x:c r="Q135" s="16" t="n">
        <x:v>24</x:v>
      </x:c>
      <x:c r="R135" s="16" t="n">
        <x:v>16</x:v>
      </x:c>
      <x:c r="S135" s="16" t="n">
        <x:v>3</x:v>
      </x:c>
      <x:c r="T135" s="15" t="n">
        <x:f>YEAR(A135)</x:f>
        <x:v>2023</x:v>
      </x:c>
      <x:c r="U135" s="15" t="n">
        <x:f>ROUNDUP(MONTH(A135)/3,0)</x:f>
        <x:v>4</x:v>
      </x:c>
      <x:c r="V135" s="18" t="n">
        <x:f>I135-J135</x:f>
        <x:v>37444.799999999996</x:v>
      </x:c>
      <x:c r="W135" s="19" t="n">
        <x:f>IF(I135=0,"",V135/I135)</x:f>
        <x:v>0.45634193763980074</x:v>
      </x:c>
      <x:c r="X135" s="18" t="n">
        <x:f>I135-J135-K135-L135-M135</x:f>
        <x:v>31618.949999999993</x:v>
      </x:c>
      <x:c r="Y135" s="19" t="n">
        <x:f>IF(I135=0,"",X135/I135)</x:f>
        <x:v>0.38534196761996264</x:v>
      </x:c>
      <x:c r="Z135" s="18" t="n">
        <x:f>IF(E135=0,"",F135/E135)</x:f>
        <x:v>1161.7662162162162</x:v>
      </x:c>
      <x:c r="AA135" s="18" t="n">
        <x:f>IF(N135=0,"",M135/N135)</x:f>
        <x:v>70.33238095238096</x:v>
      </x:c>
      <x:c r="AB135" s="19" t="n">
        <x:f>IF(E135=0,"",O135/E135)</x:f>
        <x:v>0.08108108108108109</x:v>
      </x:c>
      <x:c r="AC135" s="19" t="n">
        <x:f>IF(E135=0,"",P135/E135)</x:f>
        <x:v>0.02702702702702703</x:v>
      </x:c>
      <x:c r="AD135" s="20" t="n">
        <x:f>IF(Q135=0,"",100*(R135-S135)/Q135)</x:f>
        <x:v>54.166666666666664</x:v>
      </x:c>
      <x:c r="AE135" s="19" t="n">
        <x:f>IF(F135=0,"",G135/F135)</x:f>
        <x:v>0.030555526475880737</x:v>
      </x:c>
      <x:c r="AF135" s="18" t="n">
        <x:f>ROUND(I135-(F135-G135-H135),2)</x:f>
        <x:v>0</x:v>
      </x:c>
    </x:row>
    <x:row r="136" ht="24" customHeight="1">
      <x:c r="A136" s="14" t="n">
        <x:v>45231</x:v>
      </x:c>
      <x:c r="B136" s="2" t="str">
        <x:v>B2B</x:v>
      </x:c>
      <x:c r="C136" s="2" t="str">
        <x:v>Sul</x:v>
      </x:c>
      <x:c r="D136" s="2" t="str">
        <x:v>M-0131</x:v>
      </x:c>
      <x:c r="E136" s="16" t="n">
        <x:v>64</x:v>
      </x:c>
      <x:c r="F136" s="17" t="n">
        <x:v>73892.62</x:v>
      </x:c>
      <x:c r="G136" s="17" t="n">
        <x:v>2257.83</x:v>
      </x:c>
      <x:c r="H136" s="17" t="n">
        <x:v>1108.39</x:v>
      </x:c>
      <x:c r="I136" s="17" t="n">
        <x:v>70526.4</x:v>
      </x:c>
      <x:c r="J136" s="17" t="n">
        <x:v>38044.74</x:v>
      </x:c>
      <x:c r="K136" s="17" t="n">
        <x:v>2045.27</x:v>
      </x:c>
      <x:c r="L136" s="17" t="n">
        <x:v>1692.63</x:v>
      </x:c>
      <x:c r="M136" s="17" t="n">
        <x:v>1269.48</x:v>
      </x:c>
      <x:c r="N136" s="16" t="n">
        <x:v>18</x:v>
      </x:c>
      <x:c r="O136" s="16" t="n">
        <x:v>5</x:v>
      </x:c>
      <x:c r="P136" s="16" t="n">
        <x:v>1</x:v>
      </x:c>
      <x:c r="Q136" s="16" t="n">
        <x:v>20</x:v>
      </x:c>
      <x:c r="R136" s="16" t="n">
        <x:v>14</x:v>
      </x:c>
      <x:c r="S136" s="16" t="n">
        <x:v>3</x:v>
      </x:c>
      <x:c r="T136" s="15" t="n">
        <x:f>YEAR(A136)</x:f>
        <x:v>2023</x:v>
      </x:c>
      <x:c r="U136" s="15" t="n">
        <x:f>ROUNDUP(MONTH(A136)/3,0)</x:f>
        <x:v>4</x:v>
      </x:c>
      <x:c r="V136" s="18" t="n">
        <x:f>I136-J136</x:f>
        <x:v>32481.659999999996</x:v>
      </x:c>
      <x:c r="W136" s="19" t="n">
        <x:f>IF(I136=0,"",V136/I136)</x:f>
        <x:v>0.4605603008235214</x:v>
      </x:c>
      <x:c r="X136" s="18" t="n">
        <x:f>I136-J136-K136-L136-M136</x:f>
        <x:v>27474.279999999995</x:v>
      </x:c>
      <x:c r="Y136" s="19" t="n">
        <x:f>IF(I136=0,"",X136/I136)</x:f>
        <x:v>0.3895602214206311</x:v>
      </x:c>
      <x:c r="Z136" s="18" t="n">
        <x:f>IF(E136=0,"",F136/E136)</x:f>
        <x:v>1154.5721875</x:v>
      </x:c>
      <x:c r="AA136" s="18" t="n">
        <x:f>IF(N136=0,"",M136/N136)</x:f>
        <x:v>70.52666666666667</x:v>
      </x:c>
      <x:c r="AB136" s="19" t="n">
        <x:f>IF(E136=0,"",O136/E136)</x:f>
        <x:v>0.078125</x:v>
      </x:c>
      <x:c r="AC136" s="19" t="n">
        <x:f>IF(E136=0,"",P136/E136)</x:f>
        <x:v>0.015625</x:v>
      </x:c>
      <x:c r="AD136" s="20" t="n">
        <x:f>IF(Q136=0,"",100*(R136-S136)/Q136)</x:f>
        <x:v>55</x:v>
      </x:c>
      <x:c r="AE136" s="19" t="n">
        <x:f>IF(F136=0,"",G136/F136)</x:f>
        <x:v>0.030555554803713823</x:v>
      </x:c>
      <x:c r="AF136" s="18" t="n">
        <x:f>ROUND(I136-(F136-G136-H136),2)</x:f>
        <x:v>0</x:v>
      </x:c>
    </x:row>
    <x:row r="137" ht="24" customHeight="1">
      <x:c r="A137" s="14" t="n">
        <x:v>45231</x:v>
      </x:c>
      <x:c r="B137" s="2" t="str">
        <x:v>B2B</x:v>
      </x:c>
      <x:c r="C137" s="2" t="str">
        <x:v>Centro-Oeste</x:v>
      </x:c>
      <x:c r="D137" s="2" t="str">
        <x:v>M-0132</x:v>
      </x:c>
      <x:c r="E137" s="16" t="n">
        <x:v>52</x:v>
      </x:c>
      <x:c r="F137" s="17" t="n">
        <x:v>60422.16</x:v>
      </x:c>
      <x:c r="G137" s="17" t="n">
        <x:v>1846.23</x:v>
      </x:c>
      <x:c r="H137" s="17" t="n">
        <x:v>906.33</x:v>
      </x:c>
      <x:c r="I137" s="17" t="n">
        <x:v>57669.6</x:v>
      </x:c>
      <x:c r="J137" s="17" t="n">
        <x:v>32343.58</x:v>
      </x:c>
      <x:c r="K137" s="17" t="n">
        <x:v>1672.42</x:v>
      </x:c>
      <x:c r="L137" s="17" t="n">
        <x:v>1384.07</x:v>
      </x:c>
      <x:c r="M137" s="17" t="n">
        <x:v>1038.05</x:v>
      </x:c>
      <x:c r="N137" s="16" t="n">
        <x:v>15</x:v>
      </x:c>
      <x:c r="O137" s="16" t="n">
        <x:v>4</x:v>
      </x:c>
      <x:c r="P137" s="16" t="n">
        <x:v>1</x:v>
      </x:c>
      <x:c r="Q137" s="16" t="n">
        <x:v>17</x:v>
      </x:c>
      <x:c r="R137" s="16" t="n">
        <x:v>12</x:v>
      </x:c>
      <x:c r="S137" s="16" t="n">
        <x:v>2</x:v>
      </x:c>
      <x:c r="T137" s="15" t="n">
        <x:f>YEAR(A137)</x:f>
        <x:v>2023</x:v>
      </x:c>
      <x:c r="U137" s="15" t="n">
        <x:f>ROUNDUP(MONTH(A137)/3,0)</x:f>
        <x:v>4</x:v>
      </x:c>
      <x:c r="V137" s="18" t="n">
        <x:f>I137-J137</x:f>
        <x:v>25326.019999999997</x:v>
      </x:c>
      <x:c r="W137" s="19" t="n">
        <x:f>IF(I137=0,"",V137/I137)</x:f>
        <x:v>0.43915719894016947</x:v>
      </x:c>
      <x:c r="X137" s="18" t="n">
        <x:f>I137-J137-K137-L137-M137</x:f>
        <x:v>21231.48</x:v>
      </x:c>
      <x:c r="Y137" s="19" t="n">
        <x:f>IF(I137=0,"",X137/I137)</x:f>
        <x:v>0.36815722668442297</x:v>
      </x:c>
      <x:c r="Z137" s="18" t="n">
        <x:f>IF(E137=0,"",F137/E137)</x:f>
        <x:v>1161.9646153846154</x:v>
      </x:c>
      <x:c r="AA137" s="18" t="n">
        <x:f>IF(N137=0,"",M137/N137)</x:f>
        <x:v>69.20333333333333</x:v>
      </x:c>
      <x:c r="AB137" s="19" t="n">
        <x:f>IF(E137=0,"",O137/E137)</x:f>
        <x:v>0.07692307692307693</x:v>
      </x:c>
      <x:c r="AC137" s="19" t="n">
        <x:f>IF(E137=0,"",P137/E137)</x:f>
        <x:v>0.019230769230769232</x:v>
      </x:c>
      <x:c r="AD137" s="20" t="n">
        <x:f>IF(Q137=0,"",100*(R137-S137)/Q137)</x:f>
        <x:v>58.8235294117647</x:v>
      </x:c>
      <x:c r="AE137" s="19" t="n">
        <x:f>IF(F137=0,"",G137/F137)</x:f>
        <x:v>0.030555511421637357</x:v>
      </x:c>
      <x:c r="AF137" s="18" t="n">
        <x:f>ROUND(I137-(F137-G137-H137),2)</x:f>
        <x:v>0</x:v>
      </x:c>
    </x:row>
    <x:row r="138" ht="24" customHeight="1">
      <x:c r="A138" s="14" t="n">
        <x:v>45261</x:v>
      </x:c>
      <x:c r="B138" s="2" t="str">
        <x:v>E-commerce</x:v>
      </x:c>
      <x:c r="C138" s="2" t="str">
        <x:v>Sudeste</x:v>
      </x:c>
      <x:c r="D138" s="2" t="str">
        <x:v>M-0133</x:v>
      </x:c>
      <x:c r="E138" s="16" t="n">
        <x:v>195</x:v>
      </x:c>
      <x:c r="F138" s="17" t="n">
        <x:v>226744.87</x:v>
      </x:c>
      <x:c r="G138" s="17" t="n">
        <x:v>7054.28</x:v>
      </x:c>
      <x:c r="H138" s="17" t="n">
        <x:v>3514.55</x:v>
      </x:c>
      <x:c r="I138" s="17" t="n">
        <x:v>216176.04</x:v>
      </x:c>
      <x:c r="J138" s="17" t="n">
        <x:v>117576.08</x:v>
      </x:c>
      <x:c r="K138" s="17" t="n">
        <x:v>11024.98</x:v>
      </x:c>
      <x:c r="L138" s="17" t="n">
        <x:v>5188.22</x:v>
      </x:c>
      <x:c r="M138" s="17" t="n">
        <x:v>16213.2</x:v>
      </x:c>
      <x:c r="N138" s="16" t="n">
        <x:v>101</x:v>
      </x:c>
      <x:c r="O138" s="16" t="n">
        <x:v>16</x:v>
      </x:c>
      <x:c r="P138" s="16" t="n">
        <x:v>5</x:v>
      </x:c>
      <x:c r="Q138" s="16" t="n">
        <x:v>62</x:v>
      </x:c>
      <x:c r="R138" s="16" t="n">
        <x:v>42</x:v>
      </x:c>
      <x:c r="S138" s="16" t="n">
        <x:v>9</x:v>
      </x:c>
      <x:c r="T138" s="15" t="n">
        <x:f>YEAR(A138)</x:f>
        <x:v>2023</x:v>
      </x:c>
      <x:c r="U138" s="15" t="n">
        <x:f>ROUNDUP(MONTH(A138)/3,0)</x:f>
        <x:v>4</x:v>
      </x:c>
      <x:c r="V138" s="18" t="n">
        <x:f>I138-J138</x:f>
        <x:v>98599.96</x:v>
      </x:c>
      <x:c r="W138" s="19" t="n">
        <x:f>IF(I138=0,"",V138/I138)</x:f>
        <x:v>0.456109566999192</x:v>
      </x:c>
      <x:c r="X138" s="18" t="n">
        <x:f>I138-J138-K138-L138-M138</x:f>
        <x:v>66173.56000000001</x:v>
      </x:c>
      <x:c r="Y138" s="19" t="n">
        <x:f>IF(I138=0,"",X138/I138)</x:f>
        <x:v>0.30610959475434935</x:v>
      </x:c>
      <x:c r="Z138" s="18" t="n">
        <x:f>IF(E138=0,"",F138/E138)</x:f>
        <x:v>1162.794205128205</x:v>
      </x:c>
      <x:c r="AA138" s="18" t="n">
        <x:f>IF(N138=0,"",M138/N138)</x:f>
        <x:v>160.52673267326733</x:v>
      </x:c>
      <x:c r="AB138" s="19" t="n">
        <x:f>IF(E138=0,"",O138/E138)</x:f>
        <x:v>0.08205128205128205</x:v>
      </x:c>
      <x:c r="AC138" s="19" t="n">
        <x:f>IF(E138=0,"",P138/E138)</x:f>
        <x:v>0.02564102564102564</x:v>
      </x:c>
      <x:c r="AD138" s="20" t="n">
        <x:f>IF(Q138=0,"",100*(R138-S138)/Q138)</x:f>
        <x:v>53.225806451612904</x:v>
      </x:c>
      <x:c r="AE138" s="19" t="n">
        <x:f>IF(F138=0,"",G138/F138)</x:f>
        <x:v>0.031111089745933393</x:v>
      </x:c>
      <x:c r="AF138" s="18" t="n">
        <x:f>ROUND(I138-(F138-G138-H138),2)</x:f>
        <x:v>0</x:v>
      </x:c>
    </x:row>
    <x:row r="139" ht="24" customHeight="1">
      <x:c r="A139" s="14" t="n">
        <x:v>45261</x:v>
      </x:c>
      <x:c r="B139" s="2" t="str">
        <x:v>E-commerce</x:v>
      </x:c>
      <x:c r="C139" s="2" t="str">
        <x:v>Nordeste</x:v>
      </x:c>
      <x:c r="D139" s="2" t="str">
        <x:v>M-0134</x:v>
      </x:c>
      <x:c r="E139" s="16" t="n">
        <x:v>144</x:v>
      </x:c>
      <x:c r="F139" s="17" t="n">
        <x:v>167304.07</x:v>
      </x:c>
      <x:c r="G139" s="17" t="n">
        <x:v>5205.02</x:v>
      </x:c>
      <x:c r="H139" s="17" t="n">
        <x:v>2593.21</x:v>
      </x:c>
      <x:c r="I139" s="17" t="n">
        <x:v>159505.84</x:v>
      </x:c>
      <x:c r="J139" s="17" t="n">
        <x:v>89792.91</x:v>
      </x:c>
      <x:c r="K139" s="17" t="n">
        <x:v>8134.8</x:v>
      </x:c>
      <x:c r="L139" s="17" t="n">
        <x:v>3828.14</x:v>
      </x:c>
      <x:c r="M139" s="17" t="n">
        <x:v>11962.94</x:v>
      </x:c>
      <x:c r="N139" s="16" t="n">
        <x:v>75</x:v>
      </x:c>
      <x:c r="O139" s="16" t="n">
        <x:v>12</x:v>
      </x:c>
      <x:c r="P139" s="16" t="n">
        <x:v>3</x:v>
      </x:c>
      <x:c r="Q139" s="16" t="n">
        <x:v>46</x:v>
      </x:c>
      <x:c r="R139" s="16" t="n">
        <x:v>31</x:v>
      </x:c>
      <x:c r="S139" s="16" t="n">
        <x:v>7</x:v>
      </x:c>
      <x:c r="T139" s="15" t="n">
        <x:f>YEAR(A139)</x:f>
        <x:v>2023</x:v>
      </x:c>
      <x:c r="U139" s="15" t="n">
        <x:f>ROUNDUP(MONTH(A139)/3,0)</x:f>
        <x:v>4</x:v>
      </x:c>
      <x:c r="V139" s="18" t="n">
        <x:f>I139-J139</x:f>
        <x:v>69712.93</x:v>
      </x:c>
      <x:c r="W139" s="19" t="n">
        <x:f>IF(I139=0,"",V139/I139)</x:f>
        <x:v>0.4370556589025204</x:v>
      </x:c>
      <x:c r="X139" s="18" t="n">
        <x:f>I139-J139-K139-L139-M139</x:f>
        <x:v>45787.04999999999</x:v>
      </x:c>
      <x:c r="Y139" s="19" t="n">
        <x:f>IF(I139=0,"",X139/I139)</x:f>
        <x:v>0.28705563382506866</x:v>
      </x:c>
      <x:c r="Z139" s="18" t="n">
        <x:f>IF(E139=0,"",F139/E139)</x:f>
        <x:v>1161.8338194444445</x:v>
      </x:c>
      <x:c r="AA139" s="18" t="n">
        <x:f>IF(N139=0,"",M139/N139)</x:f>
        <x:v>159.50586666666666</x:v>
      </x:c>
      <x:c r="AB139" s="19" t="n">
        <x:f>IF(E139=0,"",O139/E139)</x:f>
        <x:v>0.08333333333333333</x:v>
      </x:c>
      <x:c r="AC139" s="19" t="n">
        <x:f>IF(E139=0,"",P139/E139)</x:f>
        <x:v>0.020833333333333332</x:v>
      </x:c>
      <x:c r="AD139" s="20" t="n">
        <x:f>IF(Q139=0,"",100*(R139-S139)/Q139)</x:f>
        <x:v>52.17391304347826</x:v>
      </x:c>
      <x:c r="AE139" s="19" t="n">
        <x:f>IF(F139=0,"",G139/F139)</x:f>
        <x:v>0.031111137941832498</x:v>
      </x:c>
      <x:c r="AF139" s="18" t="n">
        <x:f>ROUND(I139-(F139-G139-H139),2)</x:f>
        <x:v>0</x:v>
      </x:c>
    </x:row>
    <x:row r="140" ht="24" customHeight="1">
      <x:c r="A140" s="14" t="n">
        <x:v>45261</x:v>
      </x:c>
      <x:c r="B140" s="2" t="str">
        <x:v>E-commerce</x:v>
      </x:c>
      <x:c r="C140" s="2" t="str">
        <x:v>Sul</x:v>
      </x:c>
      <x:c r="D140" s="2" t="str">
        <x:v>M-0135</x:v>
      </x:c>
      <x:c r="E140" s="16" t="n">
        <x:v>116</x:v>
      </x:c>
      <x:c r="F140" s="17" t="n">
        <x:v>135114.18</x:v>
      </x:c>
      <x:c r="G140" s="17" t="n">
        <x:v>4203.55</x:v>
      </x:c>
      <x:c r="H140" s="17" t="n">
        <x:v>2094.27</x:v>
      </x:c>
      <x:c r="I140" s="17" t="n">
        <x:v>128816.36</x:v>
      </x:c>
      <x:c r="J140" s="17" t="n">
        <x:v>72129.58</x:v>
      </x:c>
      <x:c r="K140" s="17" t="n">
        <x:v>6569.63</x:v>
      </x:c>
      <x:c r="L140" s="17" t="n">
        <x:v>3091.59</x:v>
      </x:c>
      <x:c r="M140" s="17" t="n">
        <x:v>9661.23</x:v>
      </x:c>
      <x:c r="N140" s="16" t="n">
        <x:v>60</x:v>
      </x:c>
      <x:c r="O140" s="16" t="n">
        <x:v>10</x:v>
      </x:c>
      <x:c r="P140" s="16" t="n">
        <x:v>3</x:v>
      </x:c>
      <x:c r="Q140" s="16" t="n">
        <x:v>37</x:v>
      </x:c>
      <x:c r="R140" s="16" t="n">
        <x:v>25</x:v>
      </x:c>
      <x:c r="S140" s="16" t="n">
        <x:v>5</x:v>
      </x:c>
      <x:c r="T140" s="15" t="n">
        <x:f>YEAR(A140)</x:f>
        <x:v>2023</x:v>
      </x:c>
      <x:c r="U140" s="15" t="n">
        <x:f>ROUNDUP(MONTH(A140)/3,0)</x:f>
        <x:v>4</x:v>
      </x:c>
      <x:c r="V140" s="18" t="n">
        <x:f>I140-J140</x:f>
        <x:v>56686.78</x:v>
      </x:c>
      <x:c r="W140" s="19" t="n">
        <x:f>IF(I140=0,"",V140/I140)</x:f>
        <x:v>0.440058855878244</x:v>
      </x:c>
      <x:c r="X140" s="18" t="n">
        <x:f>I140-J140-K140-L140-M140</x:f>
        <x:v>37364.33</x:v>
      </x:c>
      <x:c r="Y140" s="19" t="n">
        <x:f>IF(I140=0,"",X140/I140)</x:f>
        <x:v>0.2900588869302005</x:v>
      </x:c>
      <x:c r="Z140" s="18" t="n">
        <x:f>IF(E140=0,"",F140/E140)</x:f>
        <x:v>1164.7774137931033</x:v>
      </x:c>
      <x:c r="AA140" s="18" t="n">
        <x:f>IF(N140=0,"",M140/N140)</x:f>
        <x:v>161.0205</x:v>
      </x:c>
      <x:c r="AB140" s="19" t="n">
        <x:f>IF(E140=0,"",O140/E140)</x:f>
        <x:v>0.08620689655172414</x:v>
      </x:c>
      <x:c r="AC140" s="19" t="n">
        <x:f>IF(E140=0,"",P140/E140)</x:f>
        <x:v>0.02586206896551724</x:v>
      </x:c>
      <x:c r="AD140" s="20" t="n">
        <x:f>IF(Q140=0,"",100*(R140-S140)/Q140)</x:f>
        <x:v>54.054054054054056</x:v>
      </x:c>
      <x:c r="AE140" s="19" t="n">
        <x:f>IF(F140=0,"",G140/F140)</x:f>
        <x:v>0.03111109433517637</x:v>
      </x:c>
      <x:c r="AF140" s="18" t="n">
        <x:f>ROUND(I140-(F140-G140-H140),2)</x:f>
        <x:v>0</x:v>
      </x:c>
    </x:row>
    <x:row r="141" ht="24" customHeight="1">
      <x:c r="A141" s="14" t="n">
        <x:v>45261</x:v>
      </x:c>
      <x:c r="B141" s="2" t="str">
        <x:v>E-commerce</x:v>
      </x:c>
      <x:c r="C141" s="2" t="str">
        <x:v>Centro-Oeste</x:v>
      </x:c>
      <x:c r="D141" s="2" t="str">
        <x:v>M-0136</x:v>
      </x:c>
      <x:c r="E141" s="16" t="n">
        <x:v>87</x:v>
      </x:c>
      <x:c r="F141" s="17" t="n">
        <x:v>101056.09</x:v>
      </x:c>
      <x:c r="G141" s="17" t="n">
        <x:v>3143.97</x:v>
      </x:c>
      <x:c r="H141" s="17" t="n">
        <x:v>1566.37</x:v>
      </x:c>
      <x:c r="I141" s="17" t="n">
        <x:v>96345.75</x:v>
      </x:c>
      <x:c r="J141" s="17" t="n">
        <x:v>54302.54</x:v>
      </x:c>
      <x:c r="K141" s="17" t="n">
        <x:v>4913.63</x:v>
      </x:c>
      <x:c r="L141" s="17" t="n">
        <x:v>2312.3</x:v>
      </x:c>
      <x:c r="M141" s="17" t="n">
        <x:v>7225.93</x:v>
      </x:c>
      <x:c r="N141" s="16" t="n">
        <x:v>45</x:v>
      </x:c>
      <x:c r="O141" s="16" t="n">
        <x:v>7</x:v>
      </x:c>
      <x:c r="P141" s="16" t="n">
        <x:v>2</x:v>
      </x:c>
      <x:c r="Q141" s="16" t="n">
        <x:v>28</x:v>
      </x:c>
      <x:c r="R141" s="16" t="n">
        <x:v>19</x:v>
      </x:c>
      <x:c r="S141" s="16" t="n">
        <x:v>4</x:v>
      </x:c>
      <x:c r="T141" s="15" t="n">
        <x:f>YEAR(A141)</x:f>
        <x:v>2023</x:v>
      </x:c>
      <x:c r="U141" s="15" t="n">
        <x:f>ROUNDUP(MONTH(A141)/3,0)</x:f>
        <x:v>4</x:v>
      </x:c>
      <x:c r="V141" s="18" t="n">
        <x:f>I141-J141</x:f>
        <x:v>42043.21</x:v>
      </x:c>
      <x:c r="W141" s="19" t="n">
        <x:f>IF(I141=0,"",V141/I141)</x:f>
        <x:v>0.43637845986979185</x:v>
      </x:c>
      <x:c r="X141" s="18" t="n">
        <x:f>I141-J141-K141-L141-M141</x:f>
        <x:v>27591.35</x:v>
      </x:c>
      <x:c r="Y141" s="19" t="n">
        <x:f>IF(I141=0,"",X141/I141)</x:f>
        <x:v>0.2863784858180044</x:v>
      </x:c>
      <x:c r="Z141" s="18" t="n">
        <x:f>IF(E141=0,"",F141/E141)</x:f>
        <x:v>1161.5642528735632</x:v>
      </x:c>
      <x:c r="AA141" s="18" t="n">
        <x:f>IF(N141=0,"",M141/N141)</x:f>
        <x:v>160.57622222222224</x:v>
      </x:c>
      <x:c r="AB141" s="19" t="n">
        <x:f>IF(E141=0,"",O141/E141)</x:f>
        <x:v>0.08045977011494253</x:v>
      </x:c>
      <x:c r="AC141" s="19" t="n">
        <x:f>IF(E141=0,"",P141/E141)</x:f>
        <x:v>0.022988505747126436</x:v>
      </x:c>
      <x:c r="AD141" s="20" t="n">
        <x:f>IF(Q141=0,"",100*(R141-S141)/Q141)</x:f>
        <x:v>53.57142857142857</x:v>
      </x:c>
      <x:c r="AE141" s="19" t="n">
        <x:f>IF(F141=0,"",G141/F141)</x:f>
        <x:v>0.031111138378696425</x:v>
      </x:c>
      <x:c r="AF141" s="18" t="n">
        <x:f>ROUND(I141-(F141-G141-H141),2)</x:f>
        <x:v>0</x:v>
      </x:c>
    </x:row>
    <x:row r="142" ht="24" customHeight="1">
      <x:c r="A142" s="14" t="n">
        <x:v>45261</x:v>
      </x:c>
      <x:c r="B142" s="2" t="str">
        <x:v>Lojas</x:v>
      </x:c>
      <x:c r="C142" s="2" t="str">
        <x:v>Sudeste</x:v>
      </x:c>
      <x:c r="D142" s="2" t="str">
        <x:v>M-0137</x:v>
      </x:c>
      <x:c r="E142" s="16" t="n">
        <x:v>197</x:v>
      </x:c>
      <x:c r="F142" s="17" t="n">
        <x:v>228427.46</x:v>
      </x:c>
      <x:c r="G142" s="17" t="n">
        <x:v>7106.63</x:v>
      </x:c>
      <x:c r="H142" s="17" t="n">
        <x:v>3540.63</x:v>
      </x:c>
      <x:c r="I142" s="17" t="n">
        <x:v>217780.2</x:v>
      </x:c>
      <x:c r="J142" s="17" t="n">
        <x:v>120881.87</x:v>
      </x:c>
      <x:c r="K142" s="17" t="n">
        <x:v>6533.41</x:v>
      </x:c>
      <x:c r="L142" s="17" t="n">
        <x:v>5226.72</x:v>
      </x:c>
      <x:c r="M142" s="17" t="n">
        <x:v>3920.04</x:v>
      </x:c>
      <x:c r="N142" s="16" t="n">
        <x:v>55</x:v>
      </x:c>
      <x:c r="O142" s="16" t="n">
        <x:v>17</x:v>
      </x:c>
      <x:c r="P142" s="16" t="n">
        <x:v>5</x:v>
      </x:c>
      <x:c r="Q142" s="16" t="n">
        <x:v>63</x:v>
      </x:c>
      <x:c r="R142" s="16" t="n">
        <x:v>42</x:v>
      </x:c>
      <x:c r="S142" s="16" t="n">
        <x:v>9</x:v>
      </x:c>
      <x:c r="T142" s="15" t="n">
        <x:f>YEAR(A142)</x:f>
        <x:v>2023</x:v>
      </x:c>
      <x:c r="U142" s="15" t="n">
        <x:f>ROUNDUP(MONTH(A142)/3,0)</x:f>
        <x:v>4</x:v>
      </x:c>
      <x:c r="V142" s="18" t="n">
        <x:f>I142-J142</x:f>
        <x:v>96898.33000000002</x:v>
      </x:c>
      <x:c r="W142" s="19" t="n">
        <x:f>IF(I142=0,"",V142/I142)</x:f>
        <x:v>0.4449363624424994</x:v>
      </x:c>
      <x:c r="X142" s="18" t="n">
        <x:f>I142-J142-K142-L142-M142</x:f>
        <x:v>81218.16000000002</x:v>
      </x:c>
      <x:c r="Y142" s="19" t="n">
        <x:f>IF(I142=0,"",X142/I142)</x:f>
        <x:v>0.37293638264635637</x:v>
      </x:c>
      <x:c r="Z142" s="18" t="n">
        <x:f>IF(E142=0,"",F142/E142)</x:f>
        <x:v>1159.5302538071066</x:v>
      </x:c>
      <x:c r="AA142" s="18" t="n">
        <x:f>IF(N142=0,"",M142/N142)</x:f>
        <x:v>71.27345454545454</x:v>
      </x:c>
      <x:c r="AB142" s="19" t="n">
        <x:f>IF(E142=0,"",O142/E142)</x:f>
        <x:v>0.08629441624365482</x:v>
      </x:c>
      <x:c r="AC142" s="19" t="n">
        <x:f>IF(E142=0,"",P142/E142)</x:f>
        <x:v>0.025380710659898477</x:v>
      </x:c>
      <x:c r="AD142" s="20" t="n">
        <x:f>IF(Q142=0,"",100*(R142-S142)/Q142)</x:f>
        <x:v>52.38095238095238</x:v>
      </x:c>
      <x:c r="AE142" s="19" t="n">
        <x:f>IF(F142=0,"",G142/F142)</x:f>
        <x:v>0.031111101966462353</x:v>
      </x:c>
      <x:c r="AF142" s="18" t="n">
        <x:f>ROUND(I142-(F142-G142-H142),2)</x:f>
        <x:v>0</x:v>
      </x:c>
    </x:row>
    <x:row r="143" ht="24" customHeight="1">
      <x:c r="A143" s="14" t="n">
        <x:v>45261</x:v>
      </x:c>
      <x:c r="B143" s="2" t="str">
        <x:v>Lojas</x:v>
      </x:c>
      <x:c r="C143" s="2" t="str">
        <x:v>Nordeste</x:v>
      </x:c>
      <x:c r="D143" s="2" t="str">
        <x:v>M-0138</x:v>
      </x:c>
      <x:c r="E143" s="16" t="n">
        <x:v>116</x:v>
      </x:c>
      <x:c r="F143" s="17" t="n">
        <x:v>134495.18</x:v>
      </x:c>
      <x:c r="G143" s="17" t="n">
        <x:v>4184.29</x:v>
      </x:c>
      <x:c r="H143" s="17" t="n">
        <x:v>2084.68</x:v>
      </x:c>
      <x:c r="I143" s="17" t="n">
        <x:v>128226.21</x:v>
      </x:c>
      <x:c r="J143" s="17" t="n">
        <x:v>67459.57</x:v>
      </x:c>
      <x:c r="K143" s="17" t="n">
        <x:v>3846.79</x:v>
      </x:c>
      <x:c r="L143" s="17" t="n">
        <x:v>3077.43</x:v>
      </x:c>
      <x:c r="M143" s="17" t="n">
        <x:v>2308.07</x:v>
      </x:c>
      <x:c r="N143" s="16" t="n">
        <x:v>32</x:v>
      </x:c>
      <x:c r="O143" s="16" t="n">
        <x:v>10</x:v>
      </x:c>
      <x:c r="P143" s="16" t="n">
        <x:v>3</x:v>
      </x:c>
      <x:c r="Q143" s="16" t="n">
        <x:v>37</x:v>
      </x:c>
      <x:c r="R143" s="16" t="n">
        <x:v>25</x:v>
      </x:c>
      <x:c r="S143" s="16" t="n">
        <x:v>5</x:v>
      </x:c>
      <x:c r="T143" s="15" t="n">
        <x:f>YEAR(A143)</x:f>
        <x:v>2023</x:v>
      </x:c>
      <x:c r="U143" s="15" t="n">
        <x:f>ROUNDUP(MONTH(A143)/3,0)</x:f>
        <x:v>4</x:v>
      </x:c>
      <x:c r="V143" s="18" t="n">
        <x:f>I143-J143</x:f>
        <x:v>60766.64</x:v>
      </x:c>
      <x:c r="W143" s="19" t="n">
        <x:f>IF(I143=0,"",V143/I143)</x:f>
        <x:v>0.47390186452520117</x:v>
      </x:c>
      <x:c r="X143" s="18" t="n">
        <x:f>I143-J143-K143-L143-M143</x:f>
        <x:v>51534.35</x:v>
      </x:c>
      <x:c r="Y143" s="19" t="n">
        <x:f>IF(I143=0,"",X143/I143)</x:f>
        <x:v>0.4019018420648945</x:v>
      </x:c>
      <x:c r="Z143" s="18" t="n">
        <x:f>IF(E143=0,"",F143/E143)</x:f>
        <x:v>1159.4412068965516</x:v>
      </x:c>
      <x:c r="AA143" s="18" t="n">
        <x:f>IF(N143=0,"",M143/N143)</x:f>
        <x:v>72.1271875</x:v>
      </x:c>
      <x:c r="AB143" s="19" t="n">
        <x:f>IF(E143=0,"",O143/E143)</x:f>
        <x:v>0.08620689655172414</x:v>
      </x:c>
      <x:c r="AC143" s="19" t="n">
        <x:f>IF(E143=0,"",P143/E143)</x:f>
        <x:v>0.02586206896551724</x:v>
      </x:c>
      <x:c r="AD143" s="20" t="n">
        <x:f>IF(Q143=0,"",100*(R143-S143)/Q143)</x:f>
        <x:v>54.054054054054056</x:v>
      </x:c>
      <x:c r="AE143" s="19" t="n">
        <x:f>IF(F143=0,"",G143/F143)</x:f>
        <x:v>0.031111077735276462</x:v>
      </x:c>
      <x:c r="AF143" s="18" t="n">
        <x:f>ROUND(I143-(F143-G143-H143),2)</x:f>
        <x:v>0</x:v>
      </x:c>
    </x:row>
    <x:row r="144" ht="24" customHeight="1">
      <x:c r="A144" s="14" t="n">
        <x:v>45261</x:v>
      </x:c>
      <x:c r="B144" s="2" t="str">
        <x:v>Lojas</x:v>
      </x:c>
      <x:c r="C144" s="2" t="str">
        <x:v>Sul</x:v>
      </x:c>
      <x:c r="D144" s="2" t="str">
        <x:v>M-0139</x:v>
      </x:c>
      <x:c r="E144" s="16" t="n">
        <x:v>103</x:v>
      </x:c>
      <x:c r="F144" s="17" t="n">
        <x:v>120233.32</x:v>
      </x:c>
      <x:c r="G144" s="17" t="n">
        <x:v>3740.59</x:v>
      </x:c>
      <x:c r="H144" s="17" t="n">
        <x:v>1863.62</x:v>
      </x:c>
      <x:c r="I144" s="17" t="n">
        <x:v>114629.11</x:v>
      </x:c>
      <x:c r="J144" s="17" t="n">
        <x:v>65188.25</x:v>
      </x:c>
      <x:c r="K144" s="17" t="n">
        <x:v>3438.87</x:v>
      </x:c>
      <x:c r="L144" s="17" t="n">
        <x:v>2751.1</x:v>
      </x:c>
      <x:c r="M144" s="17" t="n">
        <x:v>2063.32</x:v>
      </x:c>
      <x:c r="N144" s="16" t="n">
        <x:v>29</x:v>
      </x:c>
      <x:c r="O144" s="16" t="n">
        <x:v>9</x:v>
      </x:c>
      <x:c r="P144" s="16" t="n">
        <x:v>2</x:v>
      </x:c>
      <x:c r="Q144" s="16" t="n">
        <x:v>33</x:v>
      </x:c>
      <x:c r="R144" s="16" t="n">
        <x:v>22</x:v>
      </x:c>
      <x:c r="S144" s="16" t="n">
        <x:v>5</x:v>
      </x:c>
      <x:c r="T144" s="15" t="n">
        <x:f>YEAR(A144)</x:f>
        <x:v>2023</x:v>
      </x:c>
      <x:c r="U144" s="15" t="n">
        <x:f>ROUNDUP(MONTH(A144)/3,0)</x:f>
        <x:v>4</x:v>
      </x:c>
      <x:c r="V144" s="18" t="n">
        <x:f>I144-J144</x:f>
        <x:v>49440.86</x:v>
      </x:c>
      <x:c r="W144" s="19" t="n">
        <x:f>IF(I144=0,"",V144/I144)</x:f>
        <x:v>0.4313115577709711</x:v>
      </x:c>
      <x:c r="X144" s="18" t="n">
        <x:f>I144-J144-K144-L144-M144</x:f>
        <x:v>41187.57</x:v>
      </x:c>
      <x:c r="Y144" s="19" t="n">
        <x:f>IF(I144=0,"",X144/I144)</x:f>
        <x:v>0.35931160941579326</x:v>
      </x:c>
      <x:c r="Z144" s="18" t="n">
        <x:f>IF(E144=0,"",F144/E144)</x:f>
        <x:v>1167.313786407767</x:v>
      </x:c>
      <x:c r="AA144" s="18" t="n">
        <x:f>IF(N144=0,"",M144/N144)</x:f>
        <x:v>71.14896551724138</x:v>
      </x:c>
      <x:c r="AB144" s="19" t="n">
        <x:f>IF(E144=0,"",O144/E144)</x:f>
        <x:v>0.08737864077669903</x:v>
      </x:c>
      <x:c r="AC144" s="19" t="n">
        <x:f>IF(E144=0,"",P144/E144)</x:f>
        <x:v>0.019417475728155338</x:v>
      </x:c>
      <x:c r="AD144" s="20" t="n">
        <x:f>IF(Q144=0,"",100*(R144-S144)/Q144)</x:f>
        <x:v>51.515151515151516</x:v>
      </x:c>
      <x:c r="AE144" s="19" t="n">
        <x:f>IF(F144=0,"",G144/F144)</x:f>
        <x:v>0.031111092998180538</x:v>
      </x:c>
      <x:c r="AF144" s="18" t="n">
        <x:f>ROUND(I144-(F144-G144-H144),2)</x:f>
        <x:v>0</x:v>
      </x:c>
    </x:row>
    <x:row r="145" ht="24" customHeight="1">
      <x:c r="A145" s="14" t="n">
        <x:v>45261</x:v>
      </x:c>
      <x:c r="B145" s="2" t="str">
        <x:v>Lojas</x:v>
      </x:c>
      <x:c r="C145" s="2" t="str">
        <x:v>Centro-Oeste</x:v>
      </x:c>
      <x:c r="D145" s="2" t="str">
        <x:v>M-0140</x:v>
      </x:c>
      <x:c r="E145" s="16" t="n">
        <x:v>71</x:v>
      </x:c>
      <x:c r="F145" s="17" t="n">
        <x:v>82123.71</x:v>
      </x:c>
      <x:c r="G145" s="17" t="n">
        <x:v>2554.96</x:v>
      </x:c>
      <x:c r="H145" s="17" t="n">
        <x:v>1272.92</x:v>
      </x:c>
      <x:c r="I145" s="17" t="n">
        <x:v>78295.83</x:v>
      </x:c>
      <x:c r="J145" s="17" t="n">
        <x:v>43577.3</x:v>
      </x:c>
      <x:c r="K145" s="17" t="n">
        <x:v>2348.87</x:v>
      </x:c>
      <x:c r="L145" s="17" t="n">
        <x:v>1879.1</x:v>
      </x:c>
      <x:c r="M145" s="17" t="n">
        <x:v>1409.32</x:v>
      </x:c>
      <x:c r="N145" s="16" t="n">
        <x:v>20</x:v>
      </x:c>
      <x:c r="O145" s="16" t="n">
        <x:v>6</x:v>
      </x:c>
      <x:c r="P145" s="16" t="n">
        <x:v>2</x:v>
      </x:c>
      <x:c r="Q145" s="16" t="n">
        <x:v>23</x:v>
      </x:c>
      <x:c r="R145" s="16" t="n">
        <x:v>16</x:v>
      </x:c>
      <x:c r="S145" s="16" t="n">
        <x:v>3</x:v>
      </x:c>
      <x:c r="T145" s="15" t="n">
        <x:f>YEAR(A145)</x:f>
        <x:v>2023</x:v>
      </x:c>
      <x:c r="U145" s="15" t="n">
        <x:f>ROUNDUP(MONTH(A145)/3,0)</x:f>
        <x:v>4</x:v>
      </x:c>
      <x:c r="V145" s="18" t="n">
        <x:f>I145-J145</x:f>
        <x:v>34718.53</x:v>
      </x:c>
      <x:c r="W145" s="19" t="n">
        <x:f>IF(I145=0,"",V145/I145)</x:f>
        <x:v>0.44342757462306737</x:v>
      </x:c>
      <x:c r="X145" s="18" t="n">
        <x:f>I145-J145-K145-L145-M145</x:f>
        <x:v>29081.24</x:v>
      </x:c>
      <x:c r="Y145" s="19" t="n">
        <x:f>IF(I145=0,"",X145/I145)</x:f>
        <x:v>0.3714276992784929</x:v>
      </x:c>
      <x:c r="Z145" s="18" t="n">
        <x:f>IF(E145=0,"",F145/E145)</x:f>
        <x:v>1156.671971830986</x:v>
      </x:c>
      <x:c r="AA145" s="18" t="n">
        <x:f>IF(N145=0,"",M145/N145)</x:f>
        <x:v>70.466</x:v>
      </x:c>
      <x:c r="AB145" s="19" t="n">
        <x:f>IF(E145=0,"",O145/E145)</x:f>
        <x:v>0.08450704225352113</x:v>
      </x:c>
      <x:c r="AC145" s="19" t="n">
        <x:f>IF(E145=0,"",P145/E145)</x:f>
        <x:v>0.028169014084507043</x:v>
      </x:c>
      <x:c r="AD145" s="20" t="n">
        <x:f>IF(Q145=0,"",100*(R145-S145)/Q145)</x:f>
        <x:v>56.52173913043478</x:v>
      </x:c>
      <x:c r="AE145" s="19" t="n">
        <x:f>IF(F145=0,"",G145/F145)</x:f>
        <x:v>0.03111111273467796</x:v>
      </x:c>
      <x:c r="AF145" s="18" t="n">
        <x:f>ROUND(I145-(F145-G145-H145),2)</x:f>
        <x:v>0</x:v>
      </x:c>
    </x:row>
    <x:row r="146" ht="24" customHeight="1">
      <x:c r="A146" s="14" t="n">
        <x:v>45261</x:v>
      </x:c>
      <x:c r="B146" s="2" t="str">
        <x:v>B2B</x:v>
      </x:c>
      <x:c r="C146" s="2" t="str">
        <x:v>Sudeste</x:v>
      </x:c>
      <x:c r="D146" s="2" t="str">
        <x:v>M-0141</x:v>
      </x:c>
      <x:c r="E146" s="16" t="n">
        <x:v>121</x:v>
      </x:c>
      <x:c r="F146" s="17" t="n">
        <x:v>140153.59</x:v>
      </x:c>
      <x:c r="G146" s="17" t="n">
        <x:v>4360.33</x:v>
      </x:c>
      <x:c r="H146" s="17" t="n">
        <x:v>2172.38</x:v>
      </x:c>
      <x:c r="I146" s="17" t="n">
        <x:v>133620.88</x:v>
      </x:c>
      <x:c r="J146" s="17" t="n">
        <x:v>76617.54</x:v>
      </x:c>
      <x:c r="K146" s="17" t="n">
        <x:v>4008.63</x:v>
      </x:c>
      <x:c r="L146" s="17" t="n">
        <x:v>3206.9</x:v>
      </x:c>
      <x:c r="M146" s="17" t="n">
        <x:v>2405.18</x:v>
      </x:c>
      <x:c r="N146" s="16" t="n">
        <x:v>34</x:v>
      </x:c>
      <x:c r="O146" s="16" t="n">
        <x:v>10</x:v>
      </x:c>
      <x:c r="P146" s="16" t="n">
        <x:v>3</x:v>
      </x:c>
      <x:c r="Q146" s="16" t="n">
        <x:v>39</x:v>
      </x:c>
      <x:c r="R146" s="16" t="n">
        <x:v>26</x:v>
      </x:c>
      <x:c r="S146" s="16" t="n">
        <x:v>6</x:v>
      </x:c>
      <x:c r="T146" s="15" t="n">
        <x:f>YEAR(A146)</x:f>
        <x:v>2023</x:v>
      </x:c>
      <x:c r="U146" s="15" t="n">
        <x:f>ROUNDUP(MONTH(A146)/3,0)</x:f>
        <x:v>4</x:v>
      </x:c>
      <x:c r="V146" s="18" t="n">
        <x:f>I146-J146</x:f>
        <x:v>57003.34000000001</x:v>
      </x:c>
      <x:c r="W146" s="19" t="n">
        <x:f>IF(I146=0,"",V146/I146)</x:f>
        <x:v>0.4266050335845716</x:v>
      </x:c>
      <x:c r="X146" s="18" t="n">
        <x:f>I146-J146-K146-L146-M146</x:f>
        <x:v>47382.63000000001</x:v>
      </x:c>
      <x:c r="Y146" s="19" t="n">
        <x:f>IF(I146=0,"",X146/I146)</x:f>
        <x:v>0.35460498389173917</x:v>
      </x:c>
      <x:c r="Z146" s="18" t="n">
        <x:f>IF(E146=0,"",F146/E146)</x:f>
        <x:v>1158.294132231405</x:v>
      </x:c>
      <x:c r="AA146" s="18" t="n">
        <x:f>IF(N146=0,"",M146/N146)</x:f>
        <x:v>70.74058823529411</x:v>
      </x:c>
      <x:c r="AB146" s="19" t="n">
        <x:f>IF(E146=0,"",O146/E146)</x:f>
        <x:v>0.08264462809917356</x:v>
      </x:c>
      <x:c r="AC146" s="19" t="n">
        <x:f>IF(E146=0,"",P146/E146)</x:f>
        <x:v>0.024793388429752067</x:v>
      </x:c>
      <x:c r="AD146" s="20" t="n">
        <x:f>IF(Q146=0,"",100*(R146-S146)/Q146)</x:f>
        <x:v>51.282051282051285</x:v>
      </x:c>
      <x:c r="AE146" s="19" t="n">
        <x:f>IF(F146=0,"",G146/F146)</x:f>
        <x:v>0.031111083205217934</x:v>
      </x:c>
      <x:c r="AF146" s="18" t="n">
        <x:f>ROUND(I146-(F146-G146-H146),2)</x:f>
        <x:v>0</x:v>
      </x:c>
    </x:row>
    <x:row r="147" ht="24" customHeight="1">
      <x:c r="A147" s="14" t="n">
        <x:v>45261</x:v>
      </x:c>
      <x:c r="B147" s="2" t="str">
        <x:v>B2B</x:v>
      </x:c>
      <x:c r="C147" s="2" t="str">
        <x:v>Nordeste</x:v>
      </x:c>
      <x:c r="D147" s="2" t="str">
        <x:v>M-0142</x:v>
      </x:c>
      <x:c r="E147" s="16" t="n">
        <x:v>72</x:v>
      </x:c>
      <x:c r="F147" s="17" t="n">
        <x:v>83597.54</x:v>
      </x:c>
      <x:c r="G147" s="17" t="n">
        <x:v>2600.81</x:v>
      </x:c>
      <x:c r="H147" s="17" t="n">
        <x:v>1295.76</x:v>
      </x:c>
      <x:c r="I147" s="17" t="n">
        <x:v>79700.97</x:v>
      </x:c>
      <x:c r="J147" s="17" t="n">
        <x:v>44941.72</x:v>
      </x:c>
      <x:c r="K147" s="17" t="n">
        <x:v>2391.03</x:v>
      </x:c>
      <x:c r="L147" s="17" t="n">
        <x:v>1912.82</x:v>
      </x:c>
      <x:c r="M147" s="17" t="n">
        <x:v>1434.62</x:v>
      </x:c>
      <x:c r="N147" s="16" t="n">
        <x:v>20</x:v>
      </x:c>
      <x:c r="O147" s="16" t="n">
        <x:v>6</x:v>
      </x:c>
      <x:c r="P147" s="16" t="n">
        <x:v>2</x:v>
      </x:c>
      <x:c r="Q147" s="16" t="n">
        <x:v>23</x:v>
      </x:c>
      <x:c r="R147" s="16" t="n">
        <x:v>16</x:v>
      </x:c>
      <x:c r="S147" s="16" t="n">
        <x:v>3</x:v>
      </x:c>
      <x:c r="T147" s="15" t="n">
        <x:f>YEAR(A147)</x:f>
        <x:v>2023</x:v>
      </x:c>
      <x:c r="U147" s="15" t="n">
        <x:f>ROUNDUP(MONTH(A147)/3,0)</x:f>
        <x:v>4</x:v>
      </x:c>
      <x:c r="V147" s="18" t="n">
        <x:f>I147-J147</x:f>
        <x:v>34759.25</x:v>
      </x:c>
      <x:c r="W147" s="19" t="n">
        <x:f>IF(I147=0,"",V147/I147)</x:f>
        <x:v>0.4361207899979134</x:v>
      </x:c>
      <x:c r="X147" s="18" t="n">
        <x:f>I147-J147-K147-L147-M147</x:f>
        <x:v>29020.780000000002</x:v>
      </x:c>
      <x:c r="Y147" s="19" t="n">
        <x:f>IF(I147=0,"",X147/I147)</x:f>
        <x:v>0.3641207879904097</x:v>
      </x:c>
      <x:c r="Z147" s="18" t="n">
        <x:f>IF(E147=0,"",F147/E147)</x:f>
        <x:v>1161.0769444444443</x:v>
      </x:c>
      <x:c r="AA147" s="18" t="n">
        <x:f>IF(N147=0,"",M147/N147)</x:f>
        <x:v>71.731</x:v>
      </x:c>
      <x:c r="AB147" s="19" t="n">
        <x:f>IF(E147=0,"",O147/E147)</x:f>
        <x:v>0.08333333333333333</x:v>
      </x:c>
      <x:c r="AC147" s="19" t="n">
        <x:f>IF(E147=0,"",P147/E147)</x:f>
        <x:v>0.027777777777777776</x:v>
      </x:c>
      <x:c r="AD147" s="20" t="n">
        <x:f>IF(Q147=0,"",100*(R147-S147)/Q147)</x:f>
        <x:v>56.52173913043478</x:v>
      </x:c>
      <x:c r="AE147" s="19" t="n">
        <x:f>IF(F147=0,"",G147/F147)</x:f>
        <x:v>0.03111108293378011</x:v>
      </x:c>
      <x:c r="AF147" s="18" t="n">
        <x:f>ROUND(I147-(F147-G147-H147),2)</x:f>
        <x:v>0</x:v>
      </x:c>
    </x:row>
    <x:row r="148" ht="24" customHeight="1">
      <x:c r="A148" s="14" t="n">
        <x:v>45261</x:v>
      </x:c>
      <x:c r="B148" s="2" t="str">
        <x:v>B2B</x:v>
      </x:c>
      <x:c r="C148" s="2" t="str">
        <x:v>Sul</x:v>
      </x:c>
      <x:c r="D148" s="2" t="str">
        <x:v>M-0143</x:v>
      </x:c>
      <x:c r="E148" s="16" t="n">
        <x:v>63</x:v>
      </x:c>
      <x:c r="F148" s="17" t="n">
        <x:v>73541.19</x:v>
      </x:c>
      <x:c r="G148" s="17" t="n">
        <x:v>2287.95</x:v>
      </x:c>
      <x:c r="H148" s="17" t="n">
        <x:v>1139.89</x:v>
      </x:c>
      <x:c r="I148" s="17" t="n">
        <x:v>70113.35</x:v>
      </x:c>
      <x:c r="J148" s="17" t="n">
        <x:v>37330.67</x:v>
      </x:c>
      <x:c r="K148" s="17" t="n">
        <x:v>2103.4</x:v>
      </x:c>
      <x:c r="L148" s="17" t="n">
        <x:v>1682.72</x:v>
      </x:c>
      <x:c r="M148" s="17" t="n">
        <x:v>1262.04</x:v>
      </x:c>
      <x:c r="N148" s="16" t="n">
        <x:v>18</x:v>
      </x:c>
      <x:c r="O148" s="16" t="n">
        <x:v>5</x:v>
      </x:c>
      <x:c r="P148" s="16" t="n">
        <x:v>1</x:v>
      </x:c>
      <x:c r="Q148" s="16" t="n">
        <x:v>20</x:v>
      </x:c>
      <x:c r="R148" s="16" t="n">
        <x:v>13</x:v>
      </x:c>
      <x:c r="S148" s="16" t="n">
        <x:v>3</x:v>
      </x:c>
      <x:c r="T148" s="15" t="n">
        <x:f>YEAR(A148)</x:f>
        <x:v>2023</x:v>
      </x:c>
      <x:c r="U148" s="15" t="n">
        <x:f>ROUNDUP(MONTH(A148)/3,0)</x:f>
        <x:v>4</x:v>
      </x:c>
      <x:c r="V148" s="18" t="n">
        <x:f>I148-J148</x:f>
        <x:v>32782.68000000001</x:v>
      </x:c>
      <x:c r="W148" s="19" t="n">
        <x:f>IF(I148=0,"",V148/I148)</x:f>
        <x:v>0.4675668756378066</x:v>
      </x:c>
      <x:c r="X148" s="18" t="n">
        <x:f>I148-J148-K148-L148-M148</x:f>
        <x:v>27734.520000000004</x:v>
      </x:c>
      <x:c r="Y148" s="19" t="n">
        <x:f>IF(I148=0,"",X148/I148)</x:f>
        <x:v>0.3955668927529494</x:v>
      </x:c>
      <x:c r="Z148" s="18" t="n">
        <x:f>IF(E148=0,"",F148/E148)</x:f>
        <x:v>1167.3204761904763</x:v>
      </x:c>
      <x:c r="AA148" s="18" t="n">
        <x:f>IF(N148=0,"",M148/N148)</x:f>
        <x:v>70.11333333333333</x:v>
      </x:c>
      <x:c r="AB148" s="19" t="n">
        <x:f>IF(E148=0,"",O148/E148)</x:f>
        <x:v>0.07936507936507936</x:v>
      </x:c>
      <x:c r="AC148" s="19" t="n">
        <x:f>IF(E148=0,"",P148/E148)</x:f>
        <x:v>0.015873015873015872</x:v>
      </x:c>
      <x:c r="AD148" s="20" t="n">
        <x:f>IF(Q148=0,"",100*(R148-S148)/Q148)</x:f>
        <x:v>50</x:v>
      </x:c>
      <x:c r="AE148" s="19" t="n">
        <x:f>IF(F148=0,"",G148/F148)</x:f>
        <x:v>0.03111113649371189</x:v>
      </x:c>
      <x:c r="AF148" s="18" t="n">
        <x:f>ROUND(I148-(F148-G148-H148),2)</x:f>
        <x:v>0</x:v>
      </x:c>
    </x:row>
    <x:row r="149" ht="24" customHeight="1">
      <x:c r="A149" s="14" t="n">
        <x:v>45261</x:v>
      </x:c>
      <x:c r="B149" s="2" t="str">
        <x:v>B2B</x:v>
      </x:c>
      <x:c r="C149" s="2" t="str">
        <x:v>Centro-Oeste</x:v>
      </x:c>
      <x:c r="D149" s="2" t="str">
        <x:v>M-0144</x:v>
      </x:c>
      <x:c r="E149" s="16" t="n">
        <x:v>42</x:v>
      </x:c>
      <x:c r="F149" s="17" t="n">
        <x:v>49116.75</x:v>
      </x:c>
      <x:c r="G149" s="17" t="n">
        <x:v>1528.08</x:v>
      </x:c>
      <x:c r="H149" s="17" t="n">
        <x:v>761.31</x:v>
      </x:c>
      <x:c r="I149" s="17" t="n">
        <x:v>46827.36</x:v>
      </x:c>
      <x:c r="J149" s="17" t="n">
        <x:v>26550</x:v>
      </x:c>
      <x:c r="K149" s="17" t="n">
        <x:v>1404.82</x:v>
      </x:c>
      <x:c r="L149" s="17" t="n">
        <x:v>1123.86</x:v>
      </x:c>
      <x:c r="M149" s="17" t="n">
        <x:v>842.89</x:v>
      </x:c>
      <x:c r="N149" s="16" t="n">
        <x:v>12</x:v>
      </x:c>
      <x:c r="O149" s="16" t="n">
        <x:v>4</x:v>
      </x:c>
      <x:c r="P149" s="16" t="n">
        <x:v>1</x:v>
      </x:c>
      <x:c r="Q149" s="16" t="n">
        <x:v>13</x:v>
      </x:c>
      <x:c r="R149" s="16" t="n">
        <x:v>9</x:v>
      </x:c>
      <x:c r="S149" s="16" t="n">
        <x:v>2</x:v>
      </x:c>
      <x:c r="T149" s="15" t="n">
        <x:f>YEAR(A149)</x:f>
        <x:v>2023</x:v>
      </x:c>
      <x:c r="U149" s="15" t="n">
        <x:f>ROUNDUP(MONTH(A149)/3,0)</x:f>
        <x:v>4</x:v>
      </x:c>
      <x:c r="V149" s="18" t="n">
        <x:f>I149-J149</x:f>
        <x:v>20277.36</x:v>
      </x:c>
      <x:c r="W149" s="19" t="n">
        <x:f>IF(I149=0,"",V149/I149)</x:f>
        <x:v>0.4330237707186568</x:v>
      </x:c>
      <x:c r="X149" s="18" t="n">
        <x:f>I149-J149-K149-L149-M149</x:f>
        <x:v>16905.79</x:v>
      </x:c>
      <x:c r="Y149" s="19" t="n">
        <x:f>IF(I149=0,"",X149/I149)</x:f>
        <x:v>0.36102376901025385</x:v>
      </x:c>
      <x:c r="Z149" s="18" t="n">
        <x:f>IF(E149=0,"",F149/E149)</x:f>
        <x:v>1169.4464285714287</x:v>
      </x:c>
      <x:c r="AA149" s="18" t="n">
        <x:f>IF(N149=0,"",M149/N149)</x:f>
        <x:v>70.24083333333333</x:v>
      </x:c>
      <x:c r="AB149" s="19" t="n">
        <x:f>IF(E149=0,"",O149/E149)</x:f>
        <x:v>0.09523809523809523</x:v>
      </x:c>
      <x:c r="AC149" s="19" t="n">
        <x:f>IF(E149=0,"",P149/E149)</x:f>
        <x:v>0.023809523809523808</x:v>
      </x:c>
      <x:c r="AD149" s="20" t="n">
        <x:f>IF(Q149=0,"",100*(R149-S149)/Q149)</x:f>
        <x:v>53.84615384615385</x:v>
      </x:c>
      <x:c r="AE149" s="19" t="n">
        <x:f>IF(F149=0,"",G149/F149)</x:f>
        <x:v>0.031111178976622026</x:v>
      </x:c>
      <x:c r="AF149" s="18" t="n">
        <x:f>ROUND(I149-(F149-G149-H149),2)</x:f>
        <x:v>0</x:v>
      </x:c>
    </x:row>
    <x:row r="150" ht="24" customHeight="1">
      <x:c r="A150" s="14" t="n">
        <x:v>45292</x:v>
      </x:c>
      <x:c r="B150" s="2" t="str">
        <x:v>E-commerce</x:v>
      </x:c>
      <x:c r="C150" s="2" t="str">
        <x:v>Sudeste</x:v>
      </x:c>
      <x:c r="D150" s="2" t="str">
        <x:v>M-0145</x:v>
      </x:c>
      <x:c r="E150" s="16" t="n">
        <x:v>172</x:v>
      </x:c>
      <x:c r="F150" s="17" t="n">
        <x:v>200127.01</x:v>
      </x:c>
      <x:c r="G150" s="17" t="n">
        <x:v>6337.36</x:v>
      </x:c>
      <x:c r="H150" s="17" t="n">
        <x:v>3202.03</x:v>
      </x:c>
      <x:c r="I150" s="17" t="n">
        <x:v>190587.62</x:v>
      </x:c>
      <x:c r="J150" s="17" t="n">
        <x:v>106732.23</x:v>
      </x:c>
      <x:c r="K150" s="17" t="n">
        <x:v>9910.56</x:v>
      </x:c>
      <x:c r="L150" s="17" t="n">
        <x:v>4574.1</x:v>
      </x:c>
      <x:c r="M150" s="17" t="n">
        <x:v>14294.07</x:v>
      </x:c>
      <x:c r="N150" s="16" t="n">
        <x:v>89</x:v>
      </x:c>
      <x:c r="O150" s="16" t="n">
        <x:v>15</x:v>
      </x:c>
      <x:c r="P150" s="16" t="n">
        <x:v>4</x:v>
      </x:c>
      <x:c r="Q150" s="16" t="n">
        <x:v>55</x:v>
      </x:c>
      <x:c r="R150" s="16" t="n">
        <x:v>37</x:v>
      </x:c>
      <x:c r="S150" s="16" t="n">
        <x:v>8</x:v>
      </x:c>
      <x:c r="T150" s="15" t="n">
        <x:f>YEAR(A150)</x:f>
        <x:v>2024</x:v>
      </x:c>
      <x:c r="U150" s="15" t="n">
        <x:f>ROUNDUP(MONTH(A150)/3,0)</x:f>
        <x:v>1</x:v>
      </x:c>
      <x:c r="V150" s="18" t="n">
        <x:f>I150-J150</x:f>
        <x:v>83855.39</x:v>
      </x:c>
      <x:c r="W150" s="19" t="n">
        <x:f>IF(I150=0,"",V150/I150)</x:f>
        <x:v>0.4399834050081532</x:v>
      </x:c>
      <x:c r="X150" s="18" t="n">
        <x:f>I150-J150-K150-L150-M150</x:f>
        <x:v>55076.659999999996</x:v>
      </x:c>
      <x:c r="Y150" s="19" t="n">
        <x:f>IF(I150=0,"",X150/I150)</x:f>
        <x:v>0.28898340826125013</x:v>
      </x:c>
      <x:c r="Z150" s="18" t="n">
        <x:f>IF(E150=0,"",F150/E150)</x:f>
        <x:v>1163.5291279069768</x:v>
      </x:c>
      <x:c r="AA150" s="18" t="n">
        <x:f>IF(N150=0,"",M150/N150)</x:f>
        <x:v>160.60752808988764</x:v>
      </x:c>
      <x:c r="AB150" s="19" t="n">
        <x:f>IF(E150=0,"",O150/E150)</x:f>
        <x:v>0.0872093023255814</x:v>
      </x:c>
      <x:c r="AC150" s="19" t="n">
        <x:f>IF(E150=0,"",P150/E150)</x:f>
        <x:v>0.023255813953488372</x:v>
      </x:c>
      <x:c r="AD150" s="20" t="n">
        <x:f>IF(Q150=0,"",100*(R150-S150)/Q150)</x:f>
        <x:v>52.72727272727273</x:v>
      </x:c>
      <x:c r="AE150" s="19" t="n">
        <x:f>IF(F150=0,"",G150/F150)</x:f>
        <x:v>0.03166669006847202</x:v>
      </x:c>
      <x:c r="AF150" s="18" t="n">
        <x:f>ROUND(I150-(F150-G150-H150),2)</x:f>
        <x:v>0</x:v>
      </x:c>
    </x:row>
    <x:row r="151" ht="24" customHeight="1">
      <x:c r="A151" s="14" t="n">
        <x:v>45292</x:v>
      </x:c>
      <x:c r="B151" s="2" t="str">
        <x:v>E-commerce</x:v>
      </x:c>
      <x:c r="C151" s="2" t="str">
        <x:v>Nordeste</x:v>
      </x:c>
      <x:c r="D151" s="2" t="str">
        <x:v>M-0146</x:v>
      </x:c>
      <x:c r="E151" s="16" t="n">
        <x:v>110</x:v>
      </x:c>
      <x:c r="F151" s="17" t="n">
        <x:v>127770.58</x:v>
      </x:c>
      <x:c r="G151" s="17" t="n">
        <x:v>4046.07</x:v>
      </x:c>
      <x:c r="H151" s="17" t="n">
        <x:v>2044.33</x:v>
      </x:c>
      <x:c r="I151" s="17" t="n">
        <x:v>121680.18</x:v>
      </x:c>
      <x:c r="J151" s="17" t="n">
        <x:v>70081.16</x:v>
      </x:c>
      <x:c r="K151" s="17" t="n">
        <x:v>6327.37</x:v>
      </x:c>
      <x:c r="L151" s="17" t="n">
        <x:v>2920.32</x:v>
      </x:c>
      <x:c r="M151" s="17" t="n">
        <x:v>9126.01</x:v>
      </x:c>
      <x:c r="N151" s="16" t="n">
        <x:v>57</x:v>
      </x:c>
      <x:c r="O151" s="16" t="n">
        <x:v>10</x:v>
      </x:c>
      <x:c r="P151" s="16" t="n">
        <x:v>3</x:v>
      </x:c>
      <x:c r="Q151" s="16" t="n">
        <x:v>35</x:v>
      </x:c>
      <x:c r="R151" s="16" t="n">
        <x:v>23</x:v>
      </x:c>
      <x:c r="S151" s="16" t="n">
        <x:v>5</x:v>
      </x:c>
      <x:c r="T151" s="15" t="n">
        <x:f>YEAR(A151)</x:f>
        <x:v>2024</x:v>
      </x:c>
      <x:c r="U151" s="15" t="n">
        <x:f>ROUNDUP(MONTH(A151)/3,0)</x:f>
        <x:v>1</x:v>
      </x:c>
      <x:c r="V151" s="18" t="n">
        <x:f>I151-J151</x:f>
        <x:v>51599.01999999999</x:v>
      </x:c>
      <x:c r="W151" s="19" t="n">
        <x:f>IF(I151=0,"",V151/I151)</x:f>
        <x:v>0.42405443515944824</x:v>
      </x:c>
      <x:c r="X151" s="18" t="n">
        <x:f>I151-J151-K151-L151-M151</x:f>
        <x:v>33225.319999999985</x:v>
      </x:c>
      <x:c r="Y151" s="19" t="n">
        <x:f>IF(I151=0,"",X151/I151)</x:f>
        <x:v>0.273054494166593</x:v>
      </x:c>
      <x:c r="Z151" s="18" t="n">
        <x:f>IF(E151=0,"",F151/E151)</x:f>
        <x:v>1161.5507272727273</x:v>
      </x:c>
      <x:c r="AA151" s="18" t="n">
        <x:f>IF(N151=0,"",M151/N151)</x:f>
        <x:v>160.10543859649124</x:v>
      </x:c>
      <x:c r="AB151" s="19" t="n">
        <x:f>IF(E151=0,"",O151/E151)</x:f>
        <x:v>0.09090909090909091</x:v>
      </x:c>
      <x:c r="AC151" s="19" t="n">
        <x:f>IF(E151=0,"",P151/E151)</x:f>
        <x:v>0.02727272727272727</x:v>
      </x:c>
      <x:c r="AD151" s="20" t="n">
        <x:f>IF(Q151=0,"",100*(R151-S151)/Q151)</x:f>
        <x:v>51.42857142857143</x:v>
      </x:c>
      <x:c r="AE151" s="19" t="n">
        <x:f>IF(F151=0,"",G151/F151)</x:f>
        <x:v>0.031666679449995454</x:v>
      </x:c>
      <x:c r="AF151" s="18" t="n">
        <x:f>ROUND(I151-(F151-G151-H151),2)</x:f>
        <x:v>0</x:v>
      </x:c>
    </x:row>
    <x:row r="152" ht="24" customHeight="1">
      <x:c r="A152" s="14" t="n">
        <x:v>45292</x:v>
      </x:c>
      <x:c r="B152" s="2" t="str">
        <x:v>E-commerce</x:v>
      </x:c>
      <x:c r="C152" s="2" t="str">
        <x:v>Sul</x:v>
      </x:c>
      <x:c r="D152" s="2" t="str">
        <x:v>M-0147</x:v>
      </x:c>
      <x:c r="E152" s="16" t="n">
        <x:v>97</x:v>
      </x:c>
      <x:c r="F152" s="17" t="n">
        <x:v>112709.86</x:v>
      </x:c>
      <x:c r="G152" s="17" t="n">
        <x:v>3569.15</x:v>
      </x:c>
      <x:c r="H152" s="17" t="n">
        <x:v>1803.36</x:v>
      </x:c>
      <x:c r="I152" s="17" t="n">
        <x:v>107337.35</x:v>
      </x:c>
      <x:c r="J152" s="17" t="n">
        <x:v>58755.07</x:v>
      </x:c>
      <x:c r="K152" s="17" t="n">
        <x:v>5581.54</x:v>
      </x:c>
      <x:c r="L152" s="17" t="n">
        <x:v>2576.1</x:v>
      </x:c>
      <x:c r="M152" s="17" t="n">
        <x:v>8050.3</x:v>
      </x:c>
      <x:c r="N152" s="16" t="n">
        <x:v>50</x:v>
      </x:c>
      <x:c r="O152" s="16" t="n">
        <x:v>9</x:v>
      </x:c>
      <x:c r="P152" s="16" t="n">
        <x:v>2</x:v>
      </x:c>
      <x:c r="Q152" s="16" t="n">
        <x:v>31</x:v>
      </x:c>
      <x:c r="R152" s="16" t="n">
        <x:v>21</x:v>
      </x:c>
      <x:c r="S152" s="16" t="n">
        <x:v>5</x:v>
      </x:c>
      <x:c r="T152" s="15" t="n">
        <x:f>YEAR(A152)</x:f>
        <x:v>2024</x:v>
      </x:c>
      <x:c r="U152" s="15" t="n">
        <x:f>ROUNDUP(MONTH(A152)/3,0)</x:f>
        <x:v>1</x:v>
      </x:c>
      <x:c r="V152" s="18" t="n">
        <x:f>I152-J152</x:f>
        <x:v>48582.280000000006</x:v>
      </x:c>
      <x:c r="W152" s="19" t="n">
        <x:f>IF(I152=0,"",V152/I152)</x:f>
        <x:v>0.4526130000414581</x:v>
      </x:c>
      <x:c r="X152" s="18" t="n">
        <x:f>I152-J152-K152-L152-M152</x:f>
        <x:v>32374.340000000007</x:v>
      </x:c>
      <x:c r="Y152" s="19" t="n">
        <x:f>IF(I152=0,"",X152/I152)</x:f>
        <x:v>0.3016129986439949</x:v>
      </x:c>
      <x:c r="Z152" s="18" t="n">
        <x:f>IF(E152=0,"",F152/E152)</x:f>
        <x:v>1161.957319587629</x:v>
      </x:c>
      <x:c r="AA152" s="18" t="n">
        <x:f>IF(N152=0,"",M152/N152)</x:f>
        <x:v>161.006</x:v>
      </x:c>
      <x:c r="AB152" s="19" t="n">
        <x:f>IF(E152=0,"",O152/E152)</x:f>
        <x:v>0.09278350515463918</x:v>
      </x:c>
      <x:c r="AC152" s="19" t="n">
        <x:f>IF(E152=0,"",P152/E152)</x:f>
        <x:v>0.020618556701030927</x:v>
      </x:c>
      <x:c r="AD152" s="20" t="n">
        <x:f>IF(Q152=0,"",100*(R152-S152)/Q152)</x:f>
        <x:v>51.61290322580645</x:v>
      </x:c>
      <x:c r="AE152" s="19" t="n">
        <x:f>IF(F152=0,"",G152/F152)</x:f>
        <x:v>0.0316667060006995</x:v>
      </x:c>
      <x:c r="AF152" s="18" t="n">
        <x:f>ROUND(I152-(F152-G152-H152),2)</x:f>
        <x:v>0</x:v>
      </x:c>
    </x:row>
    <x:row r="153" ht="24" customHeight="1">
      <x:c r="A153" s="14" t="n">
        <x:v>45292</x:v>
      </x:c>
      <x:c r="B153" s="2" t="str">
        <x:v>E-commerce</x:v>
      </x:c>
      <x:c r="C153" s="2" t="str">
        <x:v>Centro-Oeste</x:v>
      </x:c>
      <x:c r="D153" s="2" t="str">
        <x:v>M-0148</x:v>
      </x:c>
      <x:c r="E153" s="16" t="n">
        <x:v>63</x:v>
      </x:c>
      <x:c r="F153" s="17" t="n">
        <x:v>73774.42</x:v>
      </x:c>
      <x:c r="G153" s="17" t="n">
        <x:v>2336.19</x:v>
      </x:c>
      <x:c r="H153" s="17" t="n">
        <x:v>1180.39</x:v>
      </x:c>
      <x:c r="I153" s="17" t="n">
        <x:v>70257.84</x:v>
      </x:c>
      <x:c r="J153" s="17" t="n">
        <x:v>37277</x:v>
      </x:c>
      <x:c r="K153" s="17" t="n">
        <x:v>3653.41</x:v>
      </x:c>
      <x:c r="L153" s="17" t="n">
        <x:v>1686.19</x:v>
      </x:c>
      <x:c r="M153" s="17" t="n">
        <x:v>5269.34</x:v>
      </x:c>
      <x:c r="N153" s="16" t="n">
        <x:v>33</x:v>
      </x:c>
      <x:c r="O153" s="16" t="n">
        <x:v>6</x:v>
      </x:c>
      <x:c r="P153" s="16" t="n">
        <x:v>2</x:v>
      </x:c>
      <x:c r="Q153" s="16" t="n">
        <x:v>20</x:v>
      </x:c>
      <x:c r="R153" s="16" t="n">
        <x:v>13</x:v>
      </x:c>
      <x:c r="S153" s="16" t="n">
        <x:v>3</x:v>
      </x:c>
      <x:c r="T153" s="15" t="n">
        <x:f>YEAR(A153)</x:f>
        <x:v>2024</x:v>
      </x:c>
      <x:c r="U153" s="15" t="n">
        <x:f>ROUNDUP(MONTH(A153)/3,0)</x:f>
        <x:v>1</x:v>
      </x:c>
      <x:c r="V153" s="18" t="n">
        <x:f>I153-J153</x:f>
        <x:v>32980.84</x:v>
      </x:c>
      <x:c r="W153" s="19" t="n">
        <x:f>IF(I153=0,"",V153/I153)</x:f>
        <x:v>0.4694257608830559</x:v>
      </x:c>
      <x:c r="X153" s="18" t="n">
        <x:f>I153-J153-K153-L153-M153</x:f>
        <x:v>22371.899999999998</x:v>
      </x:c>
      <x:c r="Y153" s="19" t="n">
        <x:f>IF(I153=0,"",X153/I153)</x:f>
        <x:v>0.318425673206008</x:v>
      </x:c>
      <x:c r="Z153" s="18" t="n">
        <x:f>IF(E153=0,"",F153/E153)</x:f>
        <x:v>1171.0225396825397</x:v>
      </x:c>
      <x:c r="AA153" s="18" t="n">
        <x:f>IF(N153=0,"",M153/N153)</x:f>
        <x:v>159.6769696969697</x:v>
      </x:c>
      <x:c r="AB153" s="19" t="n">
        <x:f>IF(E153=0,"",O153/E153)</x:f>
        <x:v>0.09523809523809523</x:v>
      </x:c>
      <x:c r="AC153" s="19" t="n">
        <x:f>IF(E153=0,"",P153/E153)</x:f>
        <x:v>0.031746031746031744</x:v>
      </x:c>
      <x:c r="AD153" s="20" t="n">
        <x:f>IF(Q153=0,"",100*(R153-S153)/Q153)</x:f>
        <x:v>50</x:v>
      </x:c>
      <x:c r="AE153" s="19" t="n">
        <x:f>IF(F153=0,"",G153/F153)</x:f>
        <x:v>0.03166666711849446</x:v>
      </x:c>
      <x:c r="AF153" s="18" t="n">
        <x:f>ROUND(I153-(F153-G153-H153),2)</x:f>
        <x:v>0</x:v>
      </x:c>
    </x:row>
    <x:row r="154" ht="24" customHeight="1">
      <x:c r="A154" s="14" t="n">
        <x:v>45292</x:v>
      </x:c>
      <x:c r="B154" s="2" t="str">
        <x:v>Lojas</x:v>
      </x:c>
      <x:c r="C154" s="2" t="str">
        <x:v>Sudeste</x:v>
      </x:c>
      <x:c r="D154" s="2" t="str">
        <x:v>M-0149</x:v>
      </x:c>
      <x:c r="E154" s="16" t="n">
        <x:v>139</x:v>
      </x:c>
      <x:c r="F154" s="17" t="n">
        <x:v>161092.64</x:v>
      </x:c>
      <x:c r="G154" s="17" t="n">
        <x:v>5101.27</x:v>
      </x:c>
      <x:c r="H154" s="17" t="n">
        <x:v>2577.48</x:v>
      </x:c>
      <x:c r="I154" s="17" t="n">
        <x:v>153413.89</x:v>
      </x:c>
      <x:c r="J154" s="17" t="n">
        <x:v>85120.18</x:v>
      </x:c>
      <x:c r="K154" s="17" t="n">
        <x:v>4755.83</x:v>
      </x:c>
      <x:c r="L154" s="17" t="n">
        <x:v>3681.93</x:v>
      </x:c>
      <x:c r="M154" s="17" t="n">
        <x:v>2761.45</x:v>
      </x:c>
      <x:c r="N154" s="16" t="n">
        <x:v>39</x:v>
      </x:c>
      <x:c r="O154" s="16" t="n">
        <x:v>12</x:v>
      </x:c>
      <x:c r="P154" s="16" t="n">
        <x:v>3</x:v>
      </x:c>
      <x:c r="Q154" s="16" t="n">
        <x:v>44</x:v>
      </x:c>
      <x:c r="R154" s="16" t="n">
        <x:v>29</x:v>
      </x:c>
      <x:c r="S154" s="16" t="n">
        <x:v>7</x:v>
      </x:c>
      <x:c r="T154" s="15" t="n">
        <x:f>YEAR(A154)</x:f>
        <x:v>2024</x:v>
      </x:c>
      <x:c r="U154" s="15" t="n">
        <x:f>ROUNDUP(MONTH(A154)/3,0)</x:f>
        <x:v>1</x:v>
      </x:c>
      <x:c r="V154" s="18" t="n">
        <x:f>I154-J154</x:f>
        <x:v>68293.71000000002</x:v>
      </x:c>
      <x:c r="W154" s="19" t="n">
        <x:f>IF(I154=0,"",V154/I154)</x:f>
        <x:v>0.4451598874130629</x:v>
      </x:c>
      <x:c r="X154" s="18" t="n">
        <x:f>I154-J154-K154-L154-M154</x:f>
        <x:v>57094.50000000002</x:v>
      </x:c>
      <x:c r="Y154" s="19" t="n">
        <x:f>IF(I154=0,"",X154/I154)</x:f>
        <x:v>0.3721599132907719</x:v>
      </x:c>
      <x:c r="Z154" s="18" t="n">
        <x:f>IF(E154=0,"",F154/E154)</x:f>
        <x:v>1158.9398561151081</x:v>
      </x:c>
      <x:c r="AA154" s="18" t="n">
        <x:f>IF(N154=0,"",M154/N154)</x:f>
        <x:v>70.80641025641025</x:v>
      </x:c>
      <x:c r="AB154" s="19" t="n">
        <x:f>IF(E154=0,"",O154/E154)</x:f>
        <x:v>0.08633093525179857</x:v>
      </x:c>
      <x:c r="AC154" s="19" t="n">
        <x:f>IF(E154=0,"",P154/E154)</x:f>
        <x:v>0.02158273381294964</x:v>
      </x:c>
      <x:c r="AD154" s="20" t="n">
        <x:f>IF(Q154=0,"",100*(R154-S154)/Q154)</x:f>
        <x:v>50</x:v>
      </x:c>
      <x:c r="AE154" s="19" t="n">
        <x:f>IF(F154=0,"",G154/F154)</x:f>
        <x:v>0.03166668570333195</x:v>
      </x:c>
      <x:c r="AF154" s="18" t="n">
        <x:f>ROUND(I154-(F154-G154-H154),2)</x:f>
        <x:v>0</x:v>
      </x:c>
    </x:row>
    <x:row r="155" ht="24" customHeight="1">
      <x:c r="A155" s="14" t="n">
        <x:v>45292</x:v>
      </x:c>
      <x:c r="B155" s="2" t="str">
        <x:v>Lojas</x:v>
      </x:c>
      <x:c r="C155" s="2" t="str">
        <x:v>Nordeste</x:v>
      </x:c>
      <x:c r="D155" s="2" t="str">
        <x:v>M-0150</x:v>
      </x:c>
      <x:c r="E155" s="16" t="n">
        <x:v>102</x:v>
      </x:c>
      <x:c r="F155" s="17" t="n">
        <x:v>118132.87</x:v>
      </x:c>
      <x:c r="G155" s="17" t="n">
        <x:v>3740.87</x:v>
      </x:c>
      <x:c r="H155" s="17" t="n">
        <x:v>1890.13</x:v>
      </x:c>
      <x:c r="I155" s="17" t="n">
        <x:v>112501.87</x:v>
      </x:c>
      <x:c r="J155" s="17" t="n">
        <x:v>63852.84</x:v>
      </x:c>
      <x:c r="K155" s="17" t="n">
        <x:v>3487.56</x:v>
      </x:c>
      <x:c r="L155" s="17" t="n">
        <x:v>2700.04</x:v>
      </x:c>
      <x:c r="M155" s="17" t="n">
        <x:v>2025.03</x:v>
      </x:c>
      <x:c r="N155" s="16" t="n">
        <x:v>29</x:v>
      </x:c>
      <x:c r="O155" s="16" t="n">
        <x:v>9</x:v>
      </x:c>
      <x:c r="P155" s="16" t="n">
        <x:v>2</x:v>
      </x:c>
      <x:c r="Q155" s="16" t="n">
        <x:v>33</x:v>
      </x:c>
      <x:c r="R155" s="16" t="n">
        <x:v>22</x:v>
      </x:c>
      <x:c r="S155" s="16" t="n">
        <x:v>5</x:v>
      </x:c>
      <x:c r="T155" s="15" t="n">
        <x:f>YEAR(A155)</x:f>
        <x:v>2024</x:v>
      </x:c>
      <x:c r="U155" s="15" t="n">
        <x:f>ROUNDUP(MONTH(A155)/3,0)</x:f>
        <x:v>1</x:v>
      </x:c>
      <x:c r="V155" s="18" t="n">
        <x:f>I155-J155</x:f>
        <x:v>48649.03</x:v>
      </x:c>
      <x:c r="W155" s="19" t="n">
        <x:f>IF(I155=0,"",V155/I155)</x:f>
        <x:v>0.43242863429736766</x:v>
      </x:c>
      <x:c r="X155" s="18" t="n">
        <x:f>I155-J155-K155-L155-M155</x:f>
        <x:v>40436.4</x:v>
      </x:c>
      <x:c r="Y155" s="19" t="n">
        <x:f>IF(I155=0,"",X155/I155)</x:f>
        <x:v>0.3594286921630725</x:v>
      </x:c>
      <x:c r="Z155" s="18" t="n">
        <x:f>IF(E155=0,"",F155/E155)</x:f>
        <x:v>1158.1653921568627</x:v>
      </x:c>
      <x:c r="AA155" s="18" t="n">
        <x:f>IF(N155=0,"",M155/N155)</x:f>
        <x:v>69.82862068965517</x:v>
      </x:c>
      <x:c r="AB155" s="19" t="n">
        <x:f>IF(E155=0,"",O155/E155)</x:f>
        <x:v>0.08823529411764706</x:v>
      </x:c>
      <x:c r="AC155" s="19" t="n">
        <x:f>IF(E155=0,"",P155/E155)</x:f>
        <x:v>0.0196078431372549</x:v>
      </x:c>
      <x:c r="AD155" s="20" t="n">
        <x:f>IF(Q155=0,"",100*(R155-S155)/Q155)</x:f>
        <x:v>51.515151515151516</x:v>
      </x:c>
      <x:c r="AE155" s="19" t="n">
        <x:f>IF(F155=0,"",G155/F155)</x:f>
        <x:v>0.03166663097239574</x:v>
      </x:c>
      <x:c r="AF155" s="18" t="n">
        <x:f>ROUND(I155-(F155-G155-H155),2)</x:f>
        <x:v>0</x:v>
      </x:c>
    </x:row>
    <x:row r="156" ht="24" customHeight="1">
      <x:c r="A156" s="14" t="n">
        <x:v>45292</x:v>
      </x:c>
      <x:c r="B156" s="2" t="str">
        <x:v>Lojas</x:v>
      </x:c>
      <x:c r="C156" s="2" t="str">
        <x:v>Sul</x:v>
      </x:c>
      <x:c r="D156" s="2" t="str">
        <x:v>M-0151</x:v>
      </x:c>
      <x:c r="E156" s="16" t="n">
        <x:v>77</x:v>
      </x:c>
      <x:c r="F156" s="17" t="n">
        <x:v>89358.84</x:v>
      </x:c>
      <x:c r="G156" s="17" t="n">
        <x:v>2829.7</x:v>
      </x:c>
      <x:c r="H156" s="17" t="n">
        <x:v>1429.74</x:v>
      </x:c>
      <x:c r="I156" s="17" t="n">
        <x:v>85099.4</x:v>
      </x:c>
      <x:c r="J156" s="17" t="n">
        <x:v>45655.63</x:v>
      </x:c>
      <x:c r="K156" s="17" t="n">
        <x:v>2638.08</x:v>
      </x:c>
      <x:c r="L156" s="17" t="n">
        <x:v>2042.39</x:v>
      </x:c>
      <x:c r="M156" s="17" t="n">
        <x:v>1531.79</x:v>
      </x:c>
      <x:c r="N156" s="16" t="n">
        <x:v>22</x:v>
      </x:c>
      <x:c r="O156" s="16" t="n">
        <x:v>7</x:v>
      </x:c>
      <x:c r="P156" s="16" t="n">
        <x:v>2</x:v>
      </x:c>
      <x:c r="Q156" s="16" t="n">
        <x:v>25</x:v>
      </x:c>
      <x:c r="R156" s="16" t="n">
        <x:v>17</x:v>
      </x:c>
      <x:c r="S156" s="16" t="n">
        <x:v>4</x:v>
      </x:c>
      <x:c r="T156" s="15" t="n">
        <x:f>YEAR(A156)</x:f>
        <x:v>2024</x:v>
      </x:c>
      <x:c r="U156" s="15" t="n">
        <x:f>ROUNDUP(MONTH(A156)/3,0)</x:f>
        <x:v>1</x:v>
      </x:c>
      <x:c r="V156" s="18" t="n">
        <x:f>I156-J156</x:f>
        <x:v>39443.77</x:v>
      </x:c>
      <x:c r="W156" s="19" t="n">
        <x:f>IF(I156=0,"",V156/I156)</x:f>
        <x:v>0.4635023278660014</x:v>
      </x:c>
      <x:c r="X156" s="18" t="n">
        <x:f>I156-J156-K156-L156-M156</x:f>
        <x:v>33231.509999999995</x:v>
      </x:c>
      <x:c r="Y156" s="19" t="n">
        <x:f>IF(I156=0,"",X156/I156)</x:f>
        <x:v>0.39050228321233754</x:v>
      </x:c>
      <x:c r="Z156" s="18" t="n">
        <x:f>IF(E156=0,"",F156/E156)</x:f>
        <x:v>1160.5044155844155</x:v>
      </x:c>
      <x:c r="AA156" s="18" t="n">
        <x:f>IF(N156=0,"",M156/N156)</x:f>
        <x:v>69.62681818181818</x:v>
      </x:c>
      <x:c r="AB156" s="19" t="n">
        <x:f>IF(E156=0,"",O156/E156)</x:f>
        <x:v>0.09090909090909091</x:v>
      </x:c>
      <x:c r="AC156" s="19" t="n">
        <x:f>IF(E156=0,"",P156/E156)</x:f>
        <x:v>0.025974025974025976</x:v>
      </x:c>
      <x:c r="AD156" s="20" t="n">
        <x:f>IF(Q156=0,"",100*(R156-S156)/Q156)</x:f>
        <x:v>52</x:v>
      </x:c>
      <x:c r="AE156" s="19" t="n">
        <x:f>IF(F156=0,"",G156/F156)</x:f>
        <x:v>0.03166670471550436</x:v>
      </x:c>
      <x:c r="AF156" s="18" t="n">
        <x:f>ROUND(I156-(F156-G156-H156),2)</x:f>
        <x:v>0</x:v>
      </x:c>
    </x:row>
    <x:row r="157" ht="24" customHeight="1">
      <x:c r="A157" s="14" t="n">
        <x:v>45292</x:v>
      </x:c>
      <x:c r="B157" s="2" t="str">
        <x:v>Lojas</x:v>
      </x:c>
      <x:c r="C157" s="2" t="str">
        <x:v>Centro-Oeste</x:v>
      </x:c>
      <x:c r="D157" s="2" t="str">
        <x:v>M-0152</x:v>
      </x:c>
      <x:c r="E157" s="16" t="n">
        <x:v>63</x:v>
      </x:c>
      <x:c r="F157" s="17" t="n">
        <x:v>72684.54</x:v>
      </x:c>
      <x:c r="G157" s="17" t="n">
        <x:v>2301.68</x:v>
      </x:c>
      <x:c r="H157" s="17" t="n">
        <x:v>1162.95</x:v>
      </x:c>
      <x:c r="I157" s="17" t="n">
        <x:v>69219.91</x:v>
      </x:c>
      <x:c r="J157" s="17" t="n">
        <x:v>36620.03</x:v>
      </x:c>
      <x:c r="K157" s="17" t="n">
        <x:v>2145.82</x:v>
      </x:c>
      <x:c r="L157" s="17" t="n">
        <x:v>1661.28</x:v>
      </x:c>
      <x:c r="M157" s="17" t="n">
        <x:v>1245.96</x:v>
      </x:c>
      <x:c r="N157" s="16" t="n">
        <x:v>18</x:v>
      </x:c>
      <x:c r="O157" s="16" t="n">
        <x:v>6</x:v>
      </x:c>
      <x:c r="P157" s="16" t="n">
        <x:v>2</x:v>
      </x:c>
      <x:c r="Q157" s="16" t="n">
        <x:v>20</x:v>
      </x:c>
      <x:c r="R157" s="16" t="n">
        <x:v>13</x:v>
      </x:c>
      <x:c r="S157" s="16" t="n">
        <x:v>3</x:v>
      </x:c>
      <x:c r="T157" s="15" t="n">
        <x:f>YEAR(A157)</x:f>
        <x:v>2024</x:v>
      </x:c>
      <x:c r="U157" s="15" t="n">
        <x:f>ROUNDUP(MONTH(A157)/3,0)</x:f>
        <x:v>1</x:v>
      </x:c>
      <x:c r="V157" s="18" t="n">
        <x:f>I157-J157</x:f>
        <x:v>32599.880000000005</x:v>
      </x:c>
      <x:c r="W157" s="19" t="n">
        <x:f>IF(I157=0,"",V157/I157)</x:f>
        <x:v>0.47096102840931175</x:v>
      </x:c>
      <x:c r="X157" s="18" t="n">
        <x:f>I157-J157-K157-L157-M157</x:f>
        <x:v>27546.820000000007</x:v>
      </x:c>
      <x:c r="Y157" s="19" t="n">
        <x:f>IF(I157=0,"",X157/I157)</x:f>
        <x:v>0.39796093349442385</x:v>
      </x:c>
      <x:c r="Z157" s="18" t="n">
        <x:f>IF(E157=0,"",F157/E157)</x:f>
        <x:v>1153.722857142857</x:v>
      </x:c>
      <x:c r="AA157" s="18" t="n">
        <x:f>IF(N157=0,"",M157/N157)</x:f>
        <x:v>69.22</x:v>
      </x:c>
      <x:c r="AB157" s="19" t="n">
        <x:f>IF(E157=0,"",O157/E157)</x:f>
        <x:v>0.09523809523809523</x:v>
      </x:c>
      <x:c r="AC157" s="19" t="n">
        <x:f>IF(E157=0,"",P157/E157)</x:f>
        <x:v>0.031746031746031744</x:v>
      </x:c>
      <x:c r="AD157" s="20" t="n">
        <x:f>IF(Q157=0,"",100*(R157-S157)/Q157)</x:f>
        <x:v>50</x:v>
      </x:c>
      <x:c r="AE157" s="19" t="n">
        <x:f>IF(F157=0,"",G157/F157)</x:f>
        <x:v>0.031666706565109996</x:v>
      </x:c>
      <x:c r="AF157" s="18" t="n">
        <x:f>ROUND(I157-(F157-G157-H157),2)</x:f>
        <x:v>0</x:v>
      </x:c>
    </x:row>
    <x:row r="158" ht="24" customHeight="1">
      <x:c r="A158" s="14" t="n">
        <x:v>45292</x:v>
      </x:c>
      <x:c r="B158" s="2" t="str">
        <x:v>B2B</x:v>
      </x:c>
      <x:c r="C158" s="2" t="str">
        <x:v>Sudeste</x:v>
      </x:c>
      <x:c r="D158" s="2" t="str">
        <x:v>M-0153</x:v>
      </x:c>
      <x:c r="E158" s="16" t="n">
        <x:v>85</x:v>
      </x:c>
      <x:c r="F158" s="17" t="n">
        <x:v>99132.03</x:v>
      </x:c>
      <x:c r="G158" s="17" t="n">
        <x:v>3139.18</x:v>
      </x:c>
      <x:c r="H158" s="17" t="n">
        <x:v>1586.11</x:v>
      </x:c>
      <x:c r="I158" s="17" t="n">
        <x:v>94406.74</x:v>
      </x:c>
      <x:c r="J158" s="17" t="n">
        <x:v>51399.66</x:v>
      </x:c>
      <x:c r="K158" s="17" t="n">
        <x:v>2926.61</x:v>
      </x:c>
      <x:c r="L158" s="17" t="n">
        <x:v>2265.76</x:v>
      </x:c>
      <x:c r="M158" s="17" t="n">
        <x:v>1699.32</x:v>
      </x:c>
      <x:c r="N158" s="16" t="n">
        <x:v>24</x:v>
      </x:c>
      <x:c r="O158" s="16" t="n">
        <x:v>7</x:v>
      </x:c>
      <x:c r="P158" s="16" t="n">
        <x:v>2</x:v>
      </x:c>
      <x:c r="Q158" s="16" t="n">
        <x:v>27</x:v>
      </x:c>
      <x:c r="R158" s="16" t="n">
        <x:v>18</x:v>
      </x:c>
      <x:c r="S158" s="16" t="n">
        <x:v>4</x:v>
      </x:c>
      <x:c r="T158" s="15" t="n">
        <x:f>YEAR(A158)</x:f>
        <x:v>2024</x:v>
      </x:c>
      <x:c r="U158" s="15" t="n">
        <x:f>ROUNDUP(MONTH(A158)/3,0)</x:f>
        <x:v>1</x:v>
      </x:c>
      <x:c r="V158" s="18" t="n">
        <x:f>I158-J158</x:f>
        <x:v>43007.08</x:v>
      </x:c>
      <x:c r="W158" s="19" t="n">
        <x:f>IF(I158=0,"",V158/I158)</x:f>
        <x:v>0.4555509490106321</x:v>
      </x:c>
      <x:c r="X158" s="18" t="n">
        <x:f>I158-J158-K158-L158-M158</x:f>
        <x:v>36115.39</x:v>
      </x:c>
      <x:c r="Y158" s="19" t="n">
        <x:f>IF(I158=0,"",X158/I158)</x:f>
        <x:v>0.38255097040740943</x:v>
      </x:c>
      <x:c r="Z158" s="18" t="n">
        <x:f>IF(E158=0,"",F158/E158)</x:f>
        <x:v>1166.2591764705883</x:v>
      </x:c>
      <x:c r="AA158" s="18" t="n">
        <x:f>IF(N158=0,"",M158/N158)</x:f>
        <x:v>70.80499999999999</x:v>
      </x:c>
      <x:c r="AB158" s="19" t="n">
        <x:f>IF(E158=0,"",O158/E158)</x:f>
        <x:v>0.08235294117647059</x:v>
      </x:c>
      <x:c r="AC158" s="19" t="n">
        <x:f>IF(E158=0,"",P158/E158)</x:f>
        <x:v>0.023529411764705882</x:v>
      </x:c>
      <x:c r="AD158" s="20" t="n">
        <x:f>IF(Q158=0,"",100*(R158-S158)/Q158)</x:f>
        <x:v>51.851851851851855</x:v>
      </x:c>
      <x:c r="AE158" s="19" t="n">
        <x:f>IF(F158=0,"",G158/F158)</x:f>
        <x:v>0.031666657083487544</x:v>
      </x:c>
      <x:c r="AF158" s="18" t="n">
        <x:f>ROUND(I158-(F158-G158-H158),2)</x:f>
        <x:v>0</x:v>
      </x:c>
    </x:row>
    <x:row r="159" ht="24" customHeight="1">
      <x:c r="A159" s="14" t="n">
        <x:v>45292</x:v>
      </x:c>
      <x:c r="B159" s="2" t="str">
        <x:v>B2B</x:v>
      </x:c>
      <x:c r="C159" s="2" t="str">
        <x:v>Nordeste</x:v>
      </x:c>
      <x:c r="D159" s="2" t="str">
        <x:v>M-0154</x:v>
      </x:c>
      <x:c r="E159" s="16" t="n">
        <x:v>53</x:v>
      </x:c>
      <x:c r="F159" s="17" t="n">
        <x:v>62128.88</x:v>
      </x:c>
      <x:c r="G159" s="17" t="n">
        <x:v>1967.41</x:v>
      </x:c>
      <x:c r="H159" s="17" t="n">
        <x:v>994.06</x:v>
      </x:c>
      <x:c r="I159" s="17" t="n">
        <x:v>59167.41</x:v>
      </x:c>
      <x:c r="J159" s="17" t="n">
        <x:v>31994.24</x:v>
      </x:c>
      <x:c r="K159" s="17" t="n">
        <x:v>1834.19</x:v>
      </x:c>
      <x:c r="L159" s="17" t="n">
        <x:v>1420.02</x:v>
      </x:c>
      <x:c r="M159" s="17" t="n">
        <x:v>1065.01</x:v>
      </x:c>
      <x:c r="N159" s="16" t="n">
        <x:v>15</x:v>
      </x:c>
      <x:c r="O159" s="16" t="n">
        <x:v>5</x:v>
      </x:c>
      <x:c r="P159" s="16" t="n">
        <x:v>1</x:v>
      </x:c>
      <x:c r="Q159" s="16" t="n">
        <x:v>17</x:v>
      </x:c>
      <x:c r="R159" s="16" t="n">
        <x:v>11</x:v>
      </x:c>
      <x:c r="S159" s="16" t="n">
        <x:v>3</x:v>
      </x:c>
      <x:c r="T159" s="15" t="n">
        <x:f>YEAR(A159)</x:f>
        <x:v>2024</x:v>
      </x:c>
      <x:c r="U159" s="15" t="n">
        <x:f>ROUNDUP(MONTH(A159)/3,0)</x:f>
        <x:v>1</x:v>
      </x:c>
      <x:c r="V159" s="18" t="n">
        <x:f>I159-J159</x:f>
        <x:v>27173.170000000002</x:v>
      </x:c>
      <x:c r="W159" s="19" t="n">
        <x:f>IF(I159=0,"",V159/I159)</x:f>
        <x:v>0.45925907522401266</x:v>
      </x:c>
      <x:c r="X159" s="18" t="n">
        <x:f>I159-J159-K159-L159-M159</x:f>
        <x:v>22853.950000000004</x:v>
      </x:c>
      <x:c r="Y159" s="19" t="n">
        <x:f>IF(I159=0,"",X159/I159)</x:f>
        <x:v>0.3862590909421251</x:v>
      </x:c>
      <x:c r="Z159" s="18" t="n">
        <x:f>IF(E159=0,"",F159/E159)</x:f>
        <x:v>1172.2430188679245</x:v>
      </x:c>
      <x:c r="AA159" s="18" t="n">
        <x:f>IF(N159=0,"",M159/N159)</x:f>
        <x:v>71.00066666666666</x:v>
      </x:c>
      <x:c r="AB159" s="19" t="n">
        <x:f>IF(E159=0,"",O159/E159)</x:f>
        <x:v>0.09433962264150944</x:v>
      </x:c>
      <x:c r="AC159" s="19" t="n">
        <x:f>IF(E159=0,"",P159/E159)</x:f>
        <x:v>0.018867924528301886</x:v>
      </x:c>
      <x:c r="AD159" s="20" t="n">
        <x:f>IF(Q159=0,"",100*(R159-S159)/Q159)</x:f>
        <x:v>47.05882352941177</x:v>
      </x:c>
      <x:c r="AE159" s="19" t="n">
        <x:f>IF(F159=0,"",G159/F159)</x:f>
        <x:v>0.031666593700063486</x:v>
      </x:c>
      <x:c r="AF159" s="18" t="n">
        <x:f>ROUND(I159-(F159-G159-H159),2)</x:f>
        <x:v>0</x:v>
      </x:c>
    </x:row>
    <x:row r="160" ht="24" customHeight="1">
      <x:c r="A160" s="14" t="n">
        <x:v>45292</x:v>
      </x:c>
      <x:c r="B160" s="2" t="str">
        <x:v>B2B</x:v>
      </x:c>
      <x:c r="C160" s="2" t="str">
        <x:v>Sul</x:v>
      </x:c>
      <x:c r="D160" s="2" t="str">
        <x:v>M-0155</x:v>
      </x:c>
      <x:c r="E160" s="16" t="n">
        <x:v>51</x:v>
      </x:c>
      <x:c r="F160" s="17" t="n">
        <x:v>59013.55</x:v>
      </x:c>
      <x:c r="G160" s="17" t="n">
        <x:v>1868.76</x:v>
      </x:c>
      <x:c r="H160" s="17" t="n">
        <x:v>944.22</x:v>
      </x:c>
      <x:c r="I160" s="17" t="n">
        <x:v>56200.57</x:v>
      </x:c>
      <x:c r="J160" s="17" t="n">
        <x:v>30030.13</x:v>
      </x:c>
      <x:c r="K160" s="17" t="n">
        <x:v>1742.22</x:v>
      </x:c>
      <x:c r="L160" s="17" t="n">
        <x:v>1348.81</x:v>
      </x:c>
      <x:c r="M160" s="17" t="n">
        <x:v>1011.61</x:v>
      </x:c>
      <x:c r="N160" s="16" t="n">
        <x:v>14</x:v>
      </x:c>
      <x:c r="O160" s="16" t="n">
        <x:v>4</x:v>
      </x:c>
      <x:c r="P160" s="16" t="n">
        <x:v>1</x:v>
      </x:c>
      <x:c r="Q160" s="16" t="n">
        <x:v>16</x:v>
      </x:c>
      <x:c r="R160" s="16" t="n">
        <x:v>11</x:v>
      </x:c>
      <x:c r="S160" s="16" t="n">
        <x:v>2</x:v>
      </x:c>
      <x:c r="T160" s="15" t="n">
        <x:f>YEAR(A160)</x:f>
        <x:v>2024</x:v>
      </x:c>
      <x:c r="U160" s="15" t="n">
        <x:f>ROUNDUP(MONTH(A160)/3,0)</x:f>
        <x:v>1</x:v>
      </x:c>
      <x:c r="V160" s="18" t="n">
        <x:f>I160-J160</x:f>
        <x:v>26170.44</x:v>
      </x:c>
      <x:c r="W160" s="19" t="n">
        <x:f>IF(I160=0,"",V160/I160)</x:f>
        <x:v>0.4656614692697956</x:v>
      </x:c>
      <x:c r="X160" s="18" t="n">
        <x:f>I160-J160-K160-L160-M160</x:f>
        <x:v>22067.799999999996</x:v>
      </x:c>
      <x:c r="Y160" s="19" t="n">
        <x:f>IF(I160=0,"",X160/I160)</x:f>
        <x:v>0.39266149791719185</x:v>
      </x:c>
      <x:c r="Z160" s="18" t="n">
        <x:f>IF(E160=0,"",F160/E160)</x:f>
        <x:v>1157.1284313725491</x:v>
      </x:c>
      <x:c r="AA160" s="18" t="n">
        <x:f>IF(N160=0,"",M160/N160)</x:f>
        <x:v>72.25785714285715</x:v>
      </x:c>
      <x:c r="AB160" s="19" t="n">
        <x:f>IF(E160=0,"",O160/E160)</x:f>
        <x:v>0.0784313725490196</x:v>
      </x:c>
      <x:c r="AC160" s="19" t="n">
        <x:f>IF(E160=0,"",P160/E160)</x:f>
        <x:v>0.0196078431372549</x:v>
      </x:c>
      <x:c r="AD160" s="20" t="n">
        <x:f>IF(Q160=0,"",100*(R160-S160)/Q160)</x:f>
        <x:v>56.25</x:v>
      </x:c>
      <x:c r="AE160" s="19" t="n">
        <x:f>IF(F160=0,"",G160/F160)</x:f>
        <x:v>0.03166662571561955</x:v>
      </x:c>
      <x:c r="AF160" s="18" t="n">
        <x:f>ROUND(I160-(F160-G160-H160),2)</x:f>
        <x:v>0</x:v>
      </x:c>
    </x:row>
    <x:row r="161" ht="24" customHeight="1">
      <x:c r="A161" s="14" t="n">
        <x:v>45292</x:v>
      </x:c>
      <x:c r="B161" s="2" t="str">
        <x:v>B2B</x:v>
      </x:c>
      <x:c r="C161" s="2" t="str">
        <x:v>Centro-Oeste</x:v>
      </x:c>
      <x:c r="D161" s="2" t="str">
        <x:v>M-0156</x:v>
      </x:c>
      <x:c r="E161" s="16" t="n">
        <x:v>34</x:v>
      </x:c>
      <x:c r="F161" s="17" t="n">
        <x:v>39836.1</x:v>
      </x:c>
      <x:c r="G161" s="17" t="n">
        <x:v>1261.48</x:v>
      </x:c>
      <x:c r="H161" s="17" t="n">
        <x:v>637.38</x:v>
      </x:c>
      <x:c r="I161" s="17" t="n">
        <x:v>37937.24</x:v>
      </x:c>
      <x:c r="J161" s="17" t="n">
        <x:v>21660.04</x:v>
      </x:c>
      <x:c r="K161" s="17" t="n">
        <x:v>1176.05</x:v>
      </x:c>
      <x:c r="L161" s="17" t="n">
        <x:v>910.49</x:v>
      </x:c>
      <x:c r="M161" s="17" t="n">
        <x:v>682.87</x:v>
      </x:c>
      <x:c r="N161" s="16" t="n">
        <x:v>10</x:v>
      </x:c>
      <x:c r="O161" s="16" t="n">
        <x:v>3</x:v>
      </x:c>
      <x:c r="P161" s="16" t="n">
        <x:v>1</x:v>
      </x:c>
      <x:c r="Q161" s="16" t="n">
        <x:v>11</x:v>
      </x:c>
      <x:c r="R161" s="16" t="n">
        <x:v>7</x:v>
      </x:c>
      <x:c r="S161" s="16" t="n">
        <x:v>2</x:v>
      </x:c>
      <x:c r="T161" s="15" t="n">
        <x:f>YEAR(A161)</x:f>
        <x:v>2024</x:v>
      </x:c>
      <x:c r="U161" s="15" t="n">
        <x:f>ROUNDUP(MONTH(A161)/3,0)</x:f>
        <x:v>1</x:v>
      </x:c>
      <x:c r="V161" s="18" t="n">
        <x:f>I161-J161</x:f>
        <x:v>16277.199999999997</x:v>
      </x:c>
      <x:c r="W161" s="19" t="n">
        <x:f>IF(I161=0,"",V161/I161)</x:f>
        <x:v>0.42905598825850266</x:v>
      </x:c>
      <x:c r="X161" s="18" t="n">
        <x:f>I161-J161-K161-L161-M161</x:f>
        <x:v>13507.789999999997</x:v>
      </x:c>
      <x:c r="Y161" s="19" t="n">
        <x:f>IF(I161=0,"",X161/I161)</x:f>
        <x:v>0.356056212839943</x:v>
      </x:c>
      <x:c r="Z161" s="18" t="n">
        <x:f>IF(E161=0,"",F161/E161)</x:f>
        <x:v>1171.6499999999999</x:v>
      </x:c>
      <x:c r="AA161" s="18" t="n">
        <x:f>IF(N161=0,"",M161/N161)</x:f>
        <x:v>68.287</x:v>
      </x:c>
      <x:c r="AB161" s="19" t="n">
        <x:f>IF(E161=0,"",O161/E161)</x:f>
        <x:v>0.08823529411764706</x:v>
      </x:c>
      <x:c r="AC161" s="19" t="n">
        <x:f>IF(E161=0,"",P161/E161)</x:f>
        <x:v>0.029411764705882353</x:v>
      </x:c>
      <x:c r="AD161" s="20" t="n">
        <x:f>IF(Q161=0,"",100*(R161-S161)/Q161)</x:f>
        <x:v>45.45454545454545</x:v>
      </x:c>
      <x:c r="AE161" s="19" t="n">
        <x:f>IF(F161=0,"",G161/F161)</x:f>
        <x:v>0.031666754526673044</x:v>
      </x:c>
      <x:c r="AF161" s="18" t="n">
        <x:f>ROUND(I161-(F161-G161-H161),2)</x:f>
        <x:v>0</x:v>
      </x:c>
    </x:row>
    <x:row r="162" ht="24" customHeight="1">
      <x:c r="A162" s="14" t="n">
        <x:v>45323</x:v>
      </x:c>
      <x:c r="B162" s="2" t="str">
        <x:v>E-commerce</x:v>
      </x:c>
      <x:c r="C162" s="2" t="str">
        <x:v>Sudeste</x:v>
      </x:c>
      <x:c r="D162" s="2" t="str">
        <x:v>M-0157</x:v>
      </x:c>
      <x:c r="E162" s="16" t="n">
        <x:v>149</x:v>
      </x:c>
      <x:c r="F162" s="17" t="n">
        <x:v>173139.46</x:v>
      </x:c>
      <x:c r="G162" s="17" t="n">
        <x:v>5578.94</x:v>
      </x:c>
      <x:c r="H162" s="17" t="n">
        <x:v>2856.8</x:v>
      </x:c>
      <x:c r="I162" s="17" t="n">
        <x:v>164703.72</x:v>
      </x:c>
      <x:c r="J162" s="17" t="n">
        <x:v>92063.82</x:v>
      </x:c>
      <x:c r="K162" s="17" t="n">
        <x:v>8729.3</x:v>
      </x:c>
      <x:c r="L162" s="17" t="n">
        <x:v>3952.89</x:v>
      </x:c>
      <x:c r="M162" s="17" t="n">
        <x:v>12352.78</x:v>
      </x:c>
      <x:c r="N162" s="16" t="n">
        <x:v>77</x:v>
      </x:c>
      <x:c r="O162" s="16" t="n">
        <x:v>14</x:v>
      </x:c>
      <x:c r="P162" s="16" t="n">
        <x:v>4</x:v>
      </x:c>
      <x:c r="Q162" s="16" t="n">
        <x:v>48</x:v>
      </x:c>
      <x:c r="R162" s="16" t="n">
        <x:v>32</x:v>
      </x:c>
      <x:c r="S162" s="16" t="n">
        <x:v>7</x:v>
      </x:c>
      <x:c r="T162" s="15" t="n">
        <x:f>YEAR(A162)</x:f>
        <x:v>2024</x:v>
      </x:c>
      <x:c r="U162" s="15" t="n">
        <x:f>ROUNDUP(MONTH(A162)/3,0)</x:f>
        <x:v>1</x:v>
      </x:c>
      <x:c r="V162" s="18" t="n">
        <x:f>I162-J162</x:f>
        <x:v>72639.9</x:v>
      </x:c>
      <x:c r="W162" s="19" t="n">
        <x:f>IF(I162=0,"",V162/I162)</x:f>
        <x:v>0.44103375442886167</x:v>
      </x:c>
      <x:c r="X162" s="18" t="n">
        <x:f>I162-J162-K162-L162-M162</x:f>
        <x:v>47604.92999999999</x:v>
      </x:c>
      <x:c r="Y162" s="19" t="n">
        <x:f>IF(I162=0,"",X162/I162)</x:f>
        <x:v>0.2890337267427839</x:v>
      </x:c>
      <x:c r="Z162" s="18" t="n">
        <x:f>IF(E162=0,"",F162/E162)</x:f>
        <x:v>1162.009798657718</x:v>
      </x:c>
      <x:c r="AA162" s="18" t="n">
        <x:f>IF(N162=0,"",M162/N162)</x:f>
        <x:v>160.4257142857143</x:v>
      </x:c>
      <x:c r="AB162" s="19" t="n">
        <x:f>IF(E162=0,"",O162/E162)</x:f>
        <x:v>0.09395973154362416</x:v>
      </x:c>
      <x:c r="AC162" s="19" t="n">
        <x:f>IF(E162=0,"",P162/E162)</x:f>
        <x:v>0.026845637583892617</x:v>
      </x:c>
      <x:c r="AD162" s="20" t="n">
        <x:f>IF(Q162=0,"",100*(R162-S162)/Q162)</x:f>
        <x:v>52.083333333333336</x:v>
      </x:c>
      <x:c r="AE162" s="19" t="n">
        <x:f>IF(F162=0,"",G162/F162)</x:f>
        <x:v>0.032222232875163175</x:v>
      </x:c>
      <x:c r="AF162" s="18" t="n">
        <x:f>ROUND(I162-(F162-G162-H162),2)</x:f>
        <x:v>0</x:v>
      </x:c>
    </x:row>
    <x:row r="163" ht="24" customHeight="1">
      <x:c r="A163" s="14" t="n">
        <x:v>45323</x:v>
      </x:c>
      <x:c r="B163" s="2" t="str">
        <x:v>E-commerce</x:v>
      </x:c>
      <x:c r="C163" s="2" t="str">
        <x:v>Nordeste</x:v>
      </x:c>
      <x:c r="D163" s="2" t="str">
        <x:v>M-0158</x:v>
      </x:c>
      <x:c r="E163" s="16" t="n">
        <x:v>108</x:v>
      </x:c>
      <x:c r="F163" s="17" t="n">
        <x:v>125523.17</x:v>
      </x:c>
      <x:c r="G163" s="17" t="n">
        <x:v>4044.64</x:v>
      </x:c>
      <x:c r="H163" s="17" t="n">
        <x:v>2071.13</x:v>
      </x:c>
      <x:c r="I163" s="17" t="n">
        <x:v>119407.4</x:v>
      </x:c>
      <x:c r="J163" s="17" t="n">
        <x:v>68781.92</x:v>
      </x:c>
      <x:c r="K163" s="17" t="n">
        <x:v>6328.59</x:v>
      </x:c>
      <x:c r="L163" s="17" t="n">
        <x:v>2865.78</x:v>
      </x:c>
      <x:c r="M163" s="17" t="n">
        <x:v>8955.56</x:v>
      </x:c>
      <x:c r="N163" s="16" t="n">
        <x:v>56</x:v>
      </x:c>
      <x:c r="O163" s="16" t="n">
        <x:v>10</x:v>
      </x:c>
      <x:c r="P163" s="16" t="n">
        <x:v>3</x:v>
      </x:c>
      <x:c r="Q163" s="16" t="n">
        <x:v>35</x:v>
      </x:c>
      <x:c r="R163" s="16" t="n">
        <x:v>23</x:v>
      </x:c>
      <x:c r="S163" s="16" t="n">
        <x:v>5</x:v>
      </x:c>
      <x:c r="T163" s="15" t="n">
        <x:f>YEAR(A163)</x:f>
        <x:v>2024</x:v>
      </x:c>
      <x:c r="U163" s="15" t="n">
        <x:f>ROUNDUP(MONTH(A163)/3,0)</x:f>
        <x:v>1</x:v>
      </x:c>
      <x:c r="V163" s="18" t="n">
        <x:f>I163-J163</x:f>
        <x:v>50625.479999999996</x:v>
      </x:c>
      <x:c r="W163" s="19" t="n">
        <x:f>IF(I163=0,"",V163/I163)</x:f>
        <x:v>0.4239727186087294</x:v>
      </x:c>
      <x:c r="X163" s="18" t="n">
        <x:f>I163-J163-K163-L163-M163</x:f>
        <x:v>32475.550000000003</x:v>
      </x:c>
      <x:c r="Y163" s="19" t="n">
        <x:f>IF(I163=0,"",X163/I163)</x:f>
        <x:v>0.2719726750603397</x:v>
      </x:c>
      <x:c r="Z163" s="18" t="n">
        <x:f>IF(E163=0,"",F163/E163)</x:f>
        <x:v>1162.2515740740741</x:v>
      </x:c>
      <x:c r="AA163" s="18" t="n">
        <x:f>IF(N163=0,"",M163/N163)</x:f>
        <x:v>159.92071428571427</x:v>
      </x:c>
      <x:c r="AB163" s="19" t="n">
        <x:f>IF(E163=0,"",O163/E163)</x:f>
        <x:v>0.09259259259259259</x:v>
      </x:c>
      <x:c r="AC163" s="19" t="n">
        <x:f>IF(E163=0,"",P163/E163)</x:f>
        <x:v>0.027777777777777776</x:v>
      </x:c>
      <x:c r="AD163" s="20" t="n">
        <x:f>IF(Q163=0,"",100*(R163-S163)/Q163)</x:f>
        <x:v>51.42857142857143</x:v>
      </x:c>
      <x:c r="AE163" s="19" t="n">
        <x:f>IF(F163=0,"",G163/F163)</x:f>
        <x:v>0.03222225824921407</x:v>
      </x:c>
      <x:c r="AF163" s="18" t="n">
        <x:f>ROUND(I163-(F163-G163-H163),2)</x:f>
        <x:v>0</x:v>
      </x:c>
    </x:row>
    <x:row r="164" ht="24" customHeight="1">
      <x:c r="A164" s="14" t="n">
        <x:v>45323</x:v>
      </x:c>
      <x:c r="B164" s="2" t="str">
        <x:v>E-commerce</x:v>
      </x:c>
      <x:c r="C164" s="2" t="str">
        <x:v>Sul</x:v>
      </x:c>
      <x:c r="D164" s="2" t="str">
        <x:v>M-0159</x:v>
      </x:c>
      <x:c r="E164" s="16" t="n">
        <x:v>86</x:v>
      </x:c>
      <x:c r="F164" s="17" t="n">
        <x:v>99910.98</x:v>
      </x:c>
      <x:c r="G164" s="17" t="n">
        <x:v>3219.35</x:v>
      </x:c>
      <x:c r="H164" s="17" t="n">
        <x:v>1648.53</x:v>
      </x:c>
      <x:c r="I164" s="17" t="n">
        <x:v>95043.1</x:v>
      </x:c>
      <x:c r="J164" s="17" t="n">
        <x:v>54292.03</x:v>
      </x:c>
      <x:c r="K164" s="17" t="n">
        <x:v>5037.28</x:v>
      </x:c>
      <x:c r="L164" s="17" t="n">
        <x:v>2281.03</x:v>
      </x:c>
      <x:c r="M164" s="17" t="n">
        <x:v>7128.23</x:v>
      </x:c>
      <x:c r="N164" s="16" t="n">
        <x:v>45</x:v>
      </x:c>
      <x:c r="O164" s="16" t="n">
        <x:v>8</x:v>
      </x:c>
      <x:c r="P164" s="16" t="n">
        <x:v>2</x:v>
      </x:c>
      <x:c r="Q164" s="16" t="n">
        <x:v>28</x:v>
      </x:c>
      <x:c r="R164" s="16" t="n">
        <x:v>19</x:v>
      </x:c>
      <x:c r="S164" s="16" t="n">
        <x:v>4</x:v>
      </x:c>
      <x:c r="T164" s="15" t="n">
        <x:f>YEAR(A164)</x:f>
        <x:v>2024</x:v>
      </x:c>
      <x:c r="U164" s="15" t="n">
        <x:f>ROUNDUP(MONTH(A164)/3,0)</x:f>
        <x:v>1</x:v>
      </x:c>
      <x:c r="V164" s="18" t="n">
        <x:f>I164-J164</x:f>
        <x:v>40751.07000000001</x:v>
      </x:c>
      <x:c r="W164" s="19" t="n">
        <x:f>IF(I164=0,"",V164/I164)</x:f>
        <x:v>0.42876410807307425</x:v>
      </x:c>
      <x:c r="X164" s="18" t="n">
        <x:f>I164-J164-K164-L164-M164</x:f>
        <x:v>26304.53000000001</x:v>
      </x:c>
      <x:c r="Y164" s="19" t="n">
        <x:f>IF(I164=0,"",X164/I164)</x:f>
        <x:v>0.2767642259143484</x:v>
      </x:c>
      <x:c r="Z164" s="18" t="n">
        <x:f>IF(E164=0,"",F164/E164)</x:f>
        <x:v>1161.7555813953488</x:v>
      </x:c>
      <x:c r="AA164" s="18" t="n">
        <x:f>IF(N164=0,"",M164/N164)</x:f>
        <x:v>158.4051111111111</x:v>
      </x:c>
      <x:c r="AB164" s="19" t="n">
        <x:f>IF(E164=0,"",O164/E164)</x:f>
        <x:v>0.09302325581395349</x:v>
      </x:c>
      <x:c r="AC164" s="19" t="n">
        <x:f>IF(E164=0,"",P164/E164)</x:f>
        <x:v>0.023255813953488372</x:v>
      </x:c>
      <x:c r="AD164" s="20" t="n">
        <x:f>IF(Q164=0,"",100*(R164-S164)/Q164)</x:f>
        <x:v>53.57142857142857</x:v>
      </x:c>
      <x:c r="AE164" s="19" t="n">
        <x:f>IF(F164=0,"",G164/F164)</x:f>
        <x:v>0.032222184188364485</x:v>
      </x:c>
      <x:c r="AF164" s="18" t="n">
        <x:f>ROUND(I164-(F164-G164-H164),2)</x:f>
        <x:v>0</x:v>
      </x:c>
    </x:row>
    <x:row r="165" ht="24" customHeight="1">
      <x:c r="A165" s="14" t="n">
        <x:v>45323</x:v>
      </x:c>
      <x:c r="B165" s="2" t="str">
        <x:v>E-commerce</x:v>
      </x:c>
      <x:c r="C165" s="2" t="str">
        <x:v>Centro-Oeste</x:v>
      </x:c>
      <x:c r="D165" s="2" t="str">
        <x:v>M-0160</x:v>
      </x:c>
      <x:c r="E165" s="16" t="n">
        <x:v>67</x:v>
      </x:c>
      <x:c r="F165" s="17" t="n">
        <x:v>77828.17</x:v>
      </x:c>
      <x:c r="G165" s="17" t="n">
        <x:v>2507.8</x:v>
      </x:c>
      <x:c r="H165" s="17" t="n">
        <x:v>1284.16</x:v>
      </x:c>
      <x:c r="I165" s="17" t="n">
        <x:v>74036.21</x:v>
      </x:c>
      <x:c r="J165" s="17" t="n">
        <x:v>42260.5</x:v>
      </x:c>
      <x:c r="K165" s="17" t="n">
        <x:v>3923.92</x:v>
      </x:c>
      <x:c r="L165" s="17" t="n">
        <x:v>1776.87</x:v>
      </x:c>
      <x:c r="M165" s="17" t="n">
        <x:v>5552.72</x:v>
      </x:c>
      <x:c r="N165" s="16" t="n">
        <x:v>35</x:v>
      </x:c>
      <x:c r="O165" s="16" t="n">
        <x:v>6</x:v>
      </x:c>
      <x:c r="P165" s="16" t="n">
        <x:v>2</x:v>
      </x:c>
      <x:c r="Q165" s="16" t="n">
        <x:v>21</x:v>
      </x:c>
      <x:c r="R165" s="16" t="n">
        <x:v>14</x:v>
      </x:c>
      <x:c r="S165" s="16" t="n">
        <x:v>3</x:v>
      </x:c>
      <x:c r="T165" s="15" t="n">
        <x:f>YEAR(A165)</x:f>
        <x:v>2024</x:v>
      </x:c>
      <x:c r="U165" s="15" t="n">
        <x:f>ROUNDUP(MONTH(A165)/3,0)</x:f>
        <x:v>1</x:v>
      </x:c>
      <x:c r="V165" s="18" t="n">
        <x:f>I165-J165</x:f>
        <x:v>31775.710000000006</x:v>
      </x:c>
      <x:c r="W165" s="19" t="n">
        <x:f>IF(I165=0,"",V165/I165)</x:f>
        <x:v>0.42919147265912183</x:v>
      </x:c>
      <x:c r="X165" s="18" t="n">
        <x:f>I165-J165-K165-L165-M165</x:f>
        <x:v>20522.200000000008</x:v>
      </x:c>
      <x:c r="Y165" s="19" t="n">
        <x:f>IF(I165=0,"",X165/I165)</x:f>
        <x:v>0.277191390537144</x:v>
      </x:c>
      <x:c r="Z165" s="18" t="n">
        <x:f>IF(E165=0,"",F165/E165)</x:f>
        <x:v>1161.6144776119402</x:v>
      </x:c>
      <x:c r="AA165" s="18" t="n">
        <x:f>IF(N165=0,"",M165/N165)</x:f>
        <x:v>158.64914285714286</x:v>
      </x:c>
      <x:c r="AB165" s="19" t="n">
        <x:f>IF(E165=0,"",O165/E165)</x:f>
        <x:v>0.08955223880597014</x:v>
      </x:c>
      <x:c r="AC165" s="19" t="n">
        <x:f>IF(E165=0,"",P165/E165)</x:f>
        <x:v>0.029850746268656716</x:v>
      </x:c>
      <x:c r="AD165" s="20" t="n">
        <x:f>IF(Q165=0,"",100*(R165-S165)/Q165)</x:f>
        <x:v>52.38095238095238</x:v>
      </x:c>
      <x:c r="AE165" s="19" t="n">
        <x:f>IF(F165=0,"",G165/F165)</x:f>
        <x:v>0.03222226605096844</x:v>
      </x:c>
      <x:c r="AF165" s="18" t="n">
        <x:f>ROUND(I165-(F165-G165-H165),2)</x:f>
        <x:v>0</x:v>
      </x:c>
    </x:row>
    <x:row r="166" ht="24" customHeight="1">
      <x:c r="A166" s="14" t="n">
        <x:v>45323</x:v>
      </x:c>
      <x:c r="B166" s="2" t="str">
        <x:v>Lojas</x:v>
      </x:c>
      <x:c r="C166" s="2" t="str">
        <x:v>Sudeste</x:v>
      </x:c>
      <x:c r="D166" s="2" t="str">
        <x:v>M-0161</x:v>
      </x:c>
      <x:c r="E166" s="16" t="n">
        <x:v>124</x:v>
      </x:c>
      <x:c r="F166" s="17" t="n">
        <x:v>144657.42</x:v>
      </x:c>
      <x:c r="G166" s="17" t="n">
        <x:v>4661.18</x:v>
      </x:c>
      <x:c r="H166" s="17" t="n">
        <x:v>2386.85</x:v>
      </x:c>
      <x:c r="I166" s="17" t="n">
        <x:v>137609.39</x:v>
      </x:c>
      <x:c r="J166" s="17" t="n">
        <x:v>74691.79</x:v>
      </x:c>
      <x:c r="K166" s="17" t="n">
        <x:v>4403.5</x:v>
      </x:c>
      <x:c r="L166" s="17" t="n">
        <x:v>3302.63</x:v>
      </x:c>
      <x:c r="M166" s="17" t="n">
        <x:v>2476.97</x:v>
      </x:c>
      <x:c r="N166" s="16" t="n">
        <x:v>35</x:v>
      </x:c>
      <x:c r="O166" s="16" t="n">
        <x:v>11</x:v>
      </x:c>
      <x:c r="P166" s="16" t="n">
        <x:v>3</x:v>
      </x:c>
      <x:c r="Q166" s="16" t="n">
        <x:v>40</x:v>
      </x:c>
      <x:c r="R166" s="16" t="n">
        <x:v>26</x:v>
      </x:c>
      <x:c r="S166" s="16" t="n">
        <x:v>6</x:v>
      </x:c>
      <x:c r="T166" s="15" t="n">
        <x:f>YEAR(A166)</x:f>
        <x:v>2024</x:v>
      </x:c>
      <x:c r="U166" s="15" t="n">
        <x:f>ROUNDUP(MONTH(A166)/3,0)</x:f>
        <x:v>1</x:v>
      </x:c>
      <x:c r="V166" s="18" t="n">
        <x:f>I166-J166</x:f>
        <x:v>62917.60000000002</x:v>
      </x:c>
      <x:c r="W166" s="19" t="n">
        <x:f>IF(I166=0,"",V166/I166)</x:f>
        <x:v>0.45721879880435495</x:v>
      </x:c>
      <x:c r="X166" s="18" t="n">
        <x:f>I166-J166-K166-L166-M166</x:f>
        <x:v>52734.50000000002</x:v>
      </x:c>
      <x:c r="Y166" s="19" t="n">
        <x:f>IF(I166=0,"",X166/I166)</x:f>
        <x:v>0.38321876145225275</x:v>
      </x:c>
      <x:c r="Z166" s="18" t="n">
        <x:f>IF(E166=0,"",F166/E166)</x:f>
        <x:v>1166.5920967741936</x:v>
      </x:c>
      <x:c r="AA166" s="18" t="n">
        <x:f>IF(N166=0,"",M166/N166)</x:f>
        <x:v>70.77057142857143</x:v>
      </x:c>
      <x:c r="AB166" s="19" t="n">
        <x:f>IF(E166=0,"",O166/E166)</x:f>
        <x:v>0.08870967741935484</x:v>
      </x:c>
      <x:c r="AC166" s="19" t="n">
        <x:f>IF(E166=0,"",P166/E166)</x:f>
        <x:v>0.024193548387096774</x:v>
      </x:c>
      <x:c r="AD166" s="20" t="n">
        <x:f>IF(Q166=0,"",100*(R166-S166)/Q166)</x:f>
        <x:v>50</x:v>
      </x:c>
      <x:c r="AE166" s="19" t="n">
        <x:f>IF(F166=0,"",G166/F166)</x:f>
        <x:v>0.03222219779669788</x:v>
      </x:c>
      <x:c r="AF166" s="18" t="n">
        <x:f>ROUND(I166-(F166-G166-H166),2)</x:f>
        <x:v>0</x:v>
      </x:c>
    </x:row>
    <x:row r="167" ht="24" customHeight="1">
      <x:c r="A167" s="14" t="n">
        <x:v>45323</x:v>
      </x:c>
      <x:c r="B167" s="2" t="str">
        <x:v>Lojas</x:v>
      </x:c>
      <x:c r="C167" s="2" t="str">
        <x:v>Nordeste</x:v>
      </x:c>
      <x:c r="D167" s="2" t="str">
        <x:v>M-0162</x:v>
      </x:c>
      <x:c r="E167" s="16" t="n">
        <x:v>87</x:v>
      </x:c>
      <x:c r="F167" s="17" t="n">
        <x:v>101338.44</x:v>
      </x:c>
      <x:c r="G167" s="17" t="n">
        <x:v>3265.35</x:v>
      </x:c>
      <x:c r="H167" s="17" t="n">
        <x:v>1672.08</x:v>
      </x:c>
      <x:c r="I167" s="17" t="n">
        <x:v>96401.01</x:v>
      </x:c>
      <x:c r="J167" s="17" t="n">
        <x:v>53419.69</x:v>
      </x:c>
      <x:c r="K167" s="17" t="n">
        <x:v>3084.83</x:v>
      </x:c>
      <x:c r="L167" s="17" t="n">
        <x:v>2313.62</x:v>
      </x:c>
      <x:c r="M167" s="17" t="n">
        <x:v>1735.22</x:v>
      </x:c>
      <x:c r="N167" s="16" t="n">
        <x:v>24</x:v>
      </x:c>
      <x:c r="O167" s="16" t="n">
        <x:v>8</x:v>
      </x:c>
      <x:c r="P167" s="16" t="n">
        <x:v>2</x:v>
      </x:c>
      <x:c r="Q167" s="16" t="n">
        <x:v>28</x:v>
      </x:c>
      <x:c r="R167" s="16" t="n">
        <x:v>19</x:v>
      </x:c>
      <x:c r="S167" s="16" t="n">
        <x:v>4</x:v>
      </x:c>
      <x:c r="T167" s="15" t="n">
        <x:f>YEAR(A167)</x:f>
        <x:v>2024</x:v>
      </x:c>
      <x:c r="U167" s="15" t="n">
        <x:f>ROUNDUP(MONTH(A167)/3,0)</x:f>
        <x:v>1</x:v>
      </x:c>
      <x:c r="V167" s="18" t="n">
        <x:f>I167-J167</x:f>
        <x:v>42981.31999999999</x:v>
      </x:c>
      <x:c r="W167" s="19" t="n">
        <x:f>IF(I167=0,"",V167/I167)</x:f>
        <x:v>0.4458596440016551</x:v>
      </x:c>
      <x:c r="X167" s="18" t="n">
        <x:f>I167-J167-K167-L167-M167</x:f>
        <x:v>35847.64999999999</x:v>
      </x:c>
      <x:c r="Y167" s="19" t="n">
        <x:f>IF(I167=0,"",X167/I167)</x:f>
        <x:v>0.3718596931712644</x:v>
      </x:c>
      <x:c r="Z167" s="18" t="n">
        <x:f>IF(E167=0,"",F167/E167)</x:f>
        <x:v>1164.8096551724138</x:v>
      </x:c>
      <x:c r="AA167" s="18" t="n">
        <x:f>IF(N167=0,"",M167/N167)</x:f>
        <x:v>72.30083333333333</x:v>
      </x:c>
      <x:c r="AB167" s="19" t="n">
        <x:f>IF(E167=0,"",O167/E167)</x:f>
        <x:v>0.09195402298850575</x:v>
      </x:c>
      <x:c r="AC167" s="19" t="n">
        <x:f>IF(E167=0,"",P167/E167)</x:f>
        <x:v>0.022988505747126436</x:v>
      </x:c>
      <x:c r="AD167" s="20" t="n">
        <x:f>IF(Q167=0,"",100*(R167-S167)/Q167)</x:f>
        <x:v>53.57142857142857</x:v>
      </x:c>
      <x:c r="AE167" s="19" t="n">
        <x:f>IF(F167=0,"",G167/F167)</x:f>
        <x:v>0.03222222485366856</x:v>
      </x:c>
      <x:c r="AF167" s="18" t="n">
        <x:f>ROUND(I167-(F167-G167-H167),2)</x:f>
        <x:v>0</x:v>
      </x:c>
    </x:row>
    <x:row r="168" ht="24" customHeight="1">
      <x:c r="A168" s="14" t="n">
        <x:v>45323</x:v>
      </x:c>
      <x:c r="B168" s="2" t="str">
        <x:v>Lojas</x:v>
      </x:c>
      <x:c r="C168" s="2" t="str">
        <x:v>Sul</x:v>
      </x:c>
      <x:c r="D168" s="2" t="str">
        <x:v>M-0163</x:v>
      </x:c>
      <x:c r="E168" s="16" t="n">
        <x:v>72</x:v>
      </x:c>
      <x:c r="F168" s="17" t="n">
        <x:v>83135.94</x:v>
      </x:c>
      <x:c r="G168" s="17" t="n">
        <x:v>2678.82</x:v>
      </x:c>
      <x:c r="H168" s="17" t="n">
        <x:v>1371.74</x:v>
      </x:c>
      <x:c r="I168" s="17" t="n">
        <x:v>79085.38</x:v>
      </x:c>
      <x:c r="J168" s="17" t="n">
        <x:v>42614.81</x:v>
      </x:c>
      <x:c r="K168" s="17" t="n">
        <x:v>2530.73</x:v>
      </x:c>
      <x:c r="L168" s="17" t="n">
        <x:v>1898.05</x:v>
      </x:c>
      <x:c r="M168" s="17" t="n">
        <x:v>1423.54</x:v>
      </x:c>
      <x:c r="N168" s="16" t="n">
        <x:v>20</x:v>
      </x:c>
      <x:c r="O168" s="16" t="n">
        <x:v>7</x:v>
      </x:c>
      <x:c r="P168" s="16" t="n">
        <x:v>2</x:v>
      </x:c>
      <x:c r="Q168" s="16" t="n">
        <x:v>23</x:v>
      </x:c>
      <x:c r="R168" s="16" t="n">
        <x:v>15</x:v>
      </x:c>
      <x:c r="S168" s="16" t="n">
        <x:v>3</x:v>
      </x:c>
      <x:c r="T168" s="15" t="n">
        <x:f>YEAR(A168)</x:f>
        <x:v>2024</x:v>
      </x:c>
      <x:c r="U168" s="15" t="n">
        <x:f>ROUNDUP(MONTH(A168)/3,0)</x:f>
        <x:v>1</x:v>
      </x:c>
      <x:c r="V168" s="18" t="n">
        <x:f>I168-J168</x:f>
        <x:v>36470.57000000001</x:v>
      </x:c>
      <x:c r="W168" s="19" t="n">
        <x:f>IF(I168=0,"",V168/I168)</x:f>
        <x:v>0.4611543878274342</x:v>
      </x:c>
      <x:c r="X168" s="18" t="n">
        <x:f>I168-J168-K168-L168-M168</x:f>
        <x:v>30618.250000000004</x:v>
      </x:c>
      <x:c r="Y168" s="19" t="n">
        <x:f>IF(I168=0,"",X168/I168)</x:f>
        <x:v>0.38715436405565734</x:v>
      </x:c>
      <x:c r="Z168" s="18" t="n">
        <x:f>IF(E168=0,"",F168/E168)</x:f>
        <x:v>1154.6658333333335</x:v>
      </x:c>
      <x:c r="AA168" s="18" t="n">
        <x:f>IF(N168=0,"",M168/N168)</x:f>
        <x:v>71.17699999999999</x:v>
      </x:c>
      <x:c r="AB168" s="19" t="n">
        <x:f>IF(E168=0,"",O168/E168)</x:f>
        <x:v>0.09722222222222222</x:v>
      </x:c>
      <x:c r="AC168" s="19" t="n">
        <x:f>IF(E168=0,"",P168/E168)</x:f>
        <x:v>0.027777777777777776</x:v>
      </x:c>
      <x:c r="AD168" s="20" t="n">
        <x:f>IF(Q168=0,"",100*(R168-S168)/Q168)</x:f>
        <x:v>52.17391304347826</x:v>
      </x:c>
      <x:c r="AE168" s="19" t="n">
        <x:f>IF(F168=0,"",G168/F168)</x:f>
        <x:v>0.032222165287359474</x:v>
      </x:c>
      <x:c r="AF168" s="18" t="n">
        <x:f>ROUND(I168-(F168-G168-H168),2)</x:f>
        <x:v>0</x:v>
      </x:c>
    </x:row>
    <x:row r="169" ht="24" customHeight="1">
      <x:c r="A169" s="14" t="n">
        <x:v>45323</x:v>
      </x:c>
      <x:c r="B169" s="2" t="str">
        <x:v>Lojas</x:v>
      </x:c>
      <x:c r="C169" s="2" t="str">
        <x:v>Centro-Oeste</x:v>
      </x:c>
      <x:c r="D169" s="2" t="str">
        <x:v>M-0164</x:v>
      </x:c>
      <x:c r="E169" s="16" t="n">
        <x:v>57</x:v>
      </x:c>
      <x:c r="F169" s="17" t="n">
        <x:v>66071.14</x:v>
      </x:c>
      <x:c r="G169" s="17" t="n">
        <x:v>2128.96</x:v>
      </x:c>
      <x:c r="H169" s="17" t="n">
        <x:v>1090.17</x:v>
      </x:c>
      <x:c r="I169" s="17" t="n">
        <x:v>62852.01</x:v>
      </x:c>
      <x:c r="J169" s="17" t="n">
        <x:v>33714.88</x:v>
      </x:c>
      <x:c r="K169" s="17" t="n">
        <x:v>2011.26</x:v>
      </x:c>
      <x:c r="L169" s="17" t="n">
        <x:v>1508.45</x:v>
      </x:c>
      <x:c r="M169" s="17" t="n">
        <x:v>1131.34</x:v>
      </x:c>
      <x:c r="N169" s="16" t="n">
        <x:v>16</x:v>
      </x:c>
      <x:c r="O169" s="16" t="n">
        <x:v>5</x:v>
      </x:c>
      <x:c r="P169" s="16" t="n">
        <x:v>1</x:v>
      </x:c>
      <x:c r="Q169" s="16" t="n">
        <x:v>18</x:v>
      </x:c>
      <x:c r="R169" s="16" t="n">
        <x:v>12</x:v>
      </x:c>
      <x:c r="S169" s="16" t="n">
        <x:v>3</x:v>
      </x:c>
      <x:c r="T169" s="15" t="n">
        <x:f>YEAR(A169)</x:f>
        <x:v>2024</x:v>
      </x:c>
      <x:c r="U169" s="15" t="n">
        <x:f>ROUNDUP(MONTH(A169)/3,0)</x:f>
        <x:v>1</x:v>
      </x:c>
      <x:c r="V169" s="18" t="n">
        <x:f>I169-J169</x:f>
        <x:v>29137.130000000005</x:v>
      </x:c>
      <x:c r="W169" s="19" t="n">
        <x:f>IF(I169=0,"",V169/I169)</x:f>
        <x:v>0.46358310577497847</x:v>
      </x:c>
      <x:c r="X169" s="18" t="n">
        <x:f>I169-J169-K169-L169-M169</x:f>
        <x:v>24486.080000000005</x:v>
      </x:c>
      <x:c r="Y169" s="19" t="n">
        <x:f>IF(I169=0,"",X169/I169)</x:f>
        <x:v>0.3895830857278869</x:v>
      </x:c>
      <x:c r="Z169" s="18" t="n">
        <x:f>IF(E169=0,"",F169/E169)</x:f>
        <x:v>1159.1428070175439</x:v>
      </x:c>
      <x:c r="AA169" s="18" t="n">
        <x:f>IF(N169=0,"",M169/N169)</x:f>
        <x:v>70.70875</x:v>
      </x:c>
      <x:c r="AB169" s="19" t="n">
        <x:f>IF(E169=0,"",O169/E169)</x:f>
        <x:v>0.08771929824561403</x:v>
      </x:c>
      <x:c r="AC169" s="19" t="n">
        <x:f>IF(E169=0,"",P169/E169)</x:f>
        <x:v>0.017543859649122806</x:v>
      </x:c>
      <x:c r="AD169" s="20" t="n">
        <x:f>IF(Q169=0,"",100*(R169-S169)/Q169)</x:f>
        <x:v>50</x:v>
      </x:c>
      <x:c r="AE169" s="19" t="n">
        <x:f>IF(F169=0,"",G169/F169)</x:f>
        <x:v>0.032222238030099076</x:v>
      </x:c>
      <x:c r="AF169" s="18" t="n">
        <x:f>ROUND(I169-(F169-G169-H169),2)</x:f>
        <x:v>0</x:v>
      </x:c>
    </x:row>
    <x:row r="170" ht="24" customHeight="1">
      <x:c r="A170" s="14" t="n">
        <x:v>45323</x:v>
      </x:c>
      <x:c r="B170" s="2" t="str">
        <x:v>B2B</x:v>
      </x:c>
      <x:c r="C170" s="2" t="str">
        <x:v>Sudeste</x:v>
      </x:c>
      <x:c r="D170" s="2" t="str">
        <x:v>M-0165</x:v>
      </x:c>
      <x:c r="E170" s="16" t="n">
        <x:v>86</x:v>
      </x:c>
      <x:c r="F170" s="17" t="n">
        <x:v>99394.83</x:v>
      </x:c>
      <x:c r="G170" s="17" t="n">
        <x:v>3202.72</x:v>
      </x:c>
      <x:c r="H170" s="17" t="n">
        <x:v>1640.01</x:v>
      </x:c>
      <x:c r="I170" s="17" t="n">
        <x:v>94552.1</x:v>
      </x:c>
      <x:c r="J170" s="17" t="n">
        <x:v>50278.54</x:v>
      </x:c>
      <x:c r="K170" s="17" t="n">
        <x:v>3025.67</x:v>
      </x:c>
      <x:c r="L170" s="17" t="n">
        <x:v>2269.25</x:v>
      </x:c>
      <x:c r="M170" s="17" t="n">
        <x:v>1701.94</x:v>
      </x:c>
      <x:c r="N170" s="16" t="n">
        <x:v>24</x:v>
      </x:c>
      <x:c r="O170" s="16" t="n">
        <x:v>8</x:v>
      </x:c>
      <x:c r="P170" s="16" t="n">
        <x:v>2</x:v>
      </x:c>
      <x:c r="Q170" s="16" t="n">
        <x:v>28</x:v>
      </x:c>
      <x:c r="R170" s="16" t="n">
        <x:v>19</x:v>
      </x:c>
      <x:c r="S170" s="16" t="n">
        <x:v>4</x:v>
      </x:c>
      <x:c r="T170" s="15" t="n">
        <x:f>YEAR(A170)</x:f>
        <x:v>2024</x:v>
      </x:c>
      <x:c r="U170" s="15" t="n">
        <x:f>ROUNDUP(MONTH(A170)/3,0)</x:f>
        <x:v>1</x:v>
      </x:c>
      <x:c r="V170" s="18" t="n">
        <x:f>I170-J170</x:f>
        <x:v>44273.560000000005</x:v>
      </x:c>
      <x:c r="W170" s="19" t="n">
        <x:f>IF(I170=0,"",V170/I170)</x:f>
        <x:v>0.46824512623199277</x:v>
      </x:c>
      <x:c r="X170" s="18" t="n">
        <x:f>I170-J170-K170-L170-M170</x:f>
        <x:v>37276.700000000004</x:v>
      </x:c>
      <x:c r="Y170" s="19" t="n">
        <x:f>IF(I170=0,"",X170/I170)</x:f>
        <x:v>0.3942450775815662</x:v>
      </x:c>
      <x:c r="Z170" s="18" t="n">
        <x:f>IF(E170=0,"",F170/E170)</x:f>
        <x:v>1155.7538372093024</x:v>
      </x:c>
      <x:c r="AA170" s="18" t="n">
        <x:f>IF(N170=0,"",M170/N170)</x:f>
        <x:v>70.91416666666667</x:v>
      </x:c>
      <x:c r="AB170" s="19" t="n">
        <x:f>IF(E170=0,"",O170/E170)</x:f>
        <x:v>0.09302325581395349</x:v>
      </x:c>
      <x:c r="AC170" s="19" t="n">
        <x:f>IF(E170=0,"",P170/E170)</x:f>
        <x:v>0.023255813953488372</x:v>
      </x:c>
      <x:c r="AD170" s="20" t="n">
        <x:f>IF(Q170=0,"",100*(R170-S170)/Q170)</x:f>
        <x:v>53.57142857142857</x:v>
      </x:c>
      <x:c r="AE170" s="19" t="n">
        <x:f>IF(F170=0,"",G170/F170)</x:f>
        <x:v>0.03222219908218566</x:v>
      </x:c>
      <x:c r="AF170" s="18" t="n">
        <x:f>ROUND(I170-(F170-G170-H170),2)</x:f>
        <x:v>0</x:v>
      </x:c>
    </x:row>
    <x:row r="171" ht="24" customHeight="1">
      <x:c r="A171" s="14" t="n">
        <x:v>45323</x:v>
      </x:c>
      <x:c r="B171" s="2" t="str">
        <x:v>B2B</x:v>
      </x:c>
      <x:c r="C171" s="2" t="str">
        <x:v>Nordeste</x:v>
      </x:c>
      <x:c r="D171" s="2" t="str">
        <x:v>M-0166</x:v>
      </x:c>
      <x:c r="E171" s="16" t="n">
        <x:v>55</x:v>
      </x:c>
      <x:c r="F171" s="17" t="n">
        <x:v>63764.51</x:v>
      </x:c>
      <x:c r="G171" s="17" t="n">
        <x:v>2054.63</x:v>
      </x:c>
      <x:c r="H171" s="17" t="n">
        <x:v>1052.11</x:v>
      </x:c>
      <x:c r="I171" s="17" t="n">
        <x:v>60657.77</x:v>
      </x:c>
      <x:c r="J171" s="17" t="n">
        <x:v>33353.9</x:v>
      </x:c>
      <x:c r="K171" s="17" t="n">
        <x:v>1941.05</x:v>
      </x:c>
      <x:c r="L171" s="17" t="n">
        <x:v>1455.79</x:v>
      </x:c>
      <x:c r="M171" s="17" t="n">
        <x:v>1091.84</x:v>
      </x:c>
      <x:c r="N171" s="16" t="n">
        <x:v>15</x:v>
      </x:c>
      <x:c r="O171" s="16" t="n">
        <x:v>5</x:v>
      </x:c>
      <x:c r="P171" s="16" t="n">
        <x:v>1</x:v>
      </x:c>
      <x:c r="Q171" s="16" t="n">
        <x:v>18</x:v>
      </x:c>
      <x:c r="R171" s="16" t="n">
        <x:v>12</x:v>
      </x:c>
      <x:c r="S171" s="16" t="n">
        <x:v>3</x:v>
      </x:c>
      <x:c r="T171" s="15" t="n">
        <x:f>YEAR(A171)</x:f>
        <x:v>2024</x:v>
      </x:c>
      <x:c r="U171" s="15" t="n">
        <x:f>ROUNDUP(MONTH(A171)/3,0)</x:f>
        <x:v>1</x:v>
      </x:c>
      <x:c r="V171" s="18" t="n">
        <x:f>I171-J171</x:f>
        <x:v>27303.869999999995</x:v>
      </x:c>
      <x:c r="W171" s="19" t="n">
        <x:f>IF(I171=0,"",V171/I171)</x:f>
        <x:v>0.4501298020022826</x:v>
      </x:c>
      <x:c r="X171" s="18" t="n">
        <x:f>I171-J171-K171-L171-M171</x:f>
        <x:v>22815.189999999995</x:v>
      </x:c>
      <x:c r="Y171" s="19" t="n">
        <x:f>IF(I171=0,"",X171/I171)</x:f>
        <x:v>0.3761297192428933</x:v>
      </x:c>
      <x:c r="Z171" s="18" t="n">
        <x:f>IF(E171=0,"",F171/E171)</x:f>
        <x:v>1159.3547272727274</x:v>
      </x:c>
      <x:c r="AA171" s="18" t="n">
        <x:f>IF(N171=0,"",M171/N171)</x:f>
        <x:v>72.78933333333333</x:v>
      </x:c>
      <x:c r="AB171" s="19" t="n">
        <x:f>IF(E171=0,"",O171/E171)</x:f>
        <x:v>0.09090909090909091</x:v>
      </x:c>
      <x:c r="AC171" s="19" t="n">
        <x:f>IF(E171=0,"",P171/E171)</x:f>
        <x:v>0.01818181818181818</x:v>
      </x:c>
      <x:c r="AD171" s="20" t="n">
        <x:f>IF(Q171=0,"",100*(R171-S171)/Q171)</x:f>
        <x:v>50</x:v>
      </x:c>
      <x:c r="AE171" s="19" t="n">
        <x:f>IF(F171=0,"",G171/F171)</x:f>
        <x:v>0.03222215618060893</x:v>
      </x:c>
      <x:c r="AF171" s="18" t="n">
        <x:f>ROUND(I171-(F171-G171-H171),2)</x:f>
        <x:v>0</x:v>
      </x:c>
    </x:row>
    <x:row r="172" ht="24" customHeight="1">
      <x:c r="A172" s="14" t="n">
        <x:v>45323</x:v>
      </x:c>
      <x:c r="B172" s="2" t="str">
        <x:v>B2B</x:v>
      </x:c>
      <x:c r="C172" s="2" t="str">
        <x:v>Sul</x:v>
      </x:c>
      <x:c r="D172" s="2" t="str">
        <x:v>M-0167</x:v>
      </x:c>
      <x:c r="E172" s="16" t="n">
        <x:v>42</x:v>
      </x:c>
      <x:c r="F172" s="17" t="n">
        <x:v>48793.64</x:v>
      </x:c>
      <x:c r="G172" s="17" t="n">
        <x:v>1572.24</x:v>
      </x:c>
      <x:c r="H172" s="17" t="n">
        <x:v>805.1</x:v>
      </x:c>
      <x:c r="I172" s="17" t="n">
        <x:v>46416.3</x:v>
      </x:c>
      <x:c r="J172" s="17" t="n">
        <x:v>25054.52</x:v>
      </x:c>
      <x:c r="K172" s="17" t="n">
        <x:v>1485.32</x:v>
      </x:c>
      <x:c r="L172" s="17" t="n">
        <x:v>1113.99</x:v>
      </x:c>
      <x:c r="M172" s="17" t="n">
        <x:v>835.49</x:v>
      </x:c>
      <x:c r="N172" s="16" t="n">
        <x:v>12</x:v>
      </x:c>
      <x:c r="O172" s="16" t="n">
        <x:v>4</x:v>
      </x:c>
      <x:c r="P172" s="16" t="n">
        <x:v>1</x:v>
      </x:c>
      <x:c r="Q172" s="16" t="n">
        <x:v>13</x:v>
      </x:c>
      <x:c r="R172" s="16" t="n">
        <x:v>9</x:v>
      </x:c>
      <x:c r="S172" s="16" t="n">
        <x:v>2</x:v>
      </x:c>
      <x:c r="T172" s="15" t="n">
        <x:f>YEAR(A172)</x:f>
        <x:v>2024</x:v>
      </x:c>
      <x:c r="U172" s="15" t="n">
        <x:f>ROUNDUP(MONTH(A172)/3,0)</x:f>
        <x:v>1</x:v>
      </x:c>
      <x:c r="V172" s="18" t="n">
        <x:f>I172-J172</x:f>
        <x:v>21361.780000000002</x:v>
      </x:c>
      <x:c r="W172" s="19" t="n">
        <x:f>IF(I172=0,"",V172/I172)</x:f>
        <x:v>0.46022151701018826</x:v>
      </x:c>
      <x:c r="X172" s="18" t="n">
        <x:f>I172-J172-K172-L172-M172</x:f>
        <x:v>17926.98</x:v>
      </x:c>
      <x:c r="Y172" s="19" t="n">
        <x:f>IF(I172=0,"",X172/I172)</x:f>
        <x:v>0.3862216505839543</x:v>
      </x:c>
      <x:c r="Z172" s="18" t="n">
        <x:f>IF(E172=0,"",F172/E172)</x:f>
        <x:v>1161.7533333333333</x:v>
      </x:c>
      <x:c r="AA172" s="18" t="n">
        <x:f>IF(N172=0,"",M172/N172)</x:f>
        <x:v>69.62416666666667</x:v>
      </x:c>
      <x:c r="AB172" s="19" t="n">
        <x:f>IF(E172=0,"",O172/E172)</x:f>
        <x:v>0.09523809523809523</x:v>
      </x:c>
      <x:c r="AC172" s="19" t="n">
        <x:f>IF(E172=0,"",P172/E172)</x:f>
        <x:v>0.023809523809523808</x:v>
      </x:c>
      <x:c r="AD172" s="20" t="n">
        <x:f>IF(Q172=0,"",100*(R172-S172)/Q172)</x:f>
        <x:v>53.84615384615385</x:v>
      </x:c>
      <x:c r="AE172" s="19" t="n">
        <x:f>IF(F172=0,"",G172/F172)</x:f>
        <x:v>0.03222223224174298</x:v>
      </x:c>
      <x:c r="AF172" s="18" t="n">
        <x:f>ROUND(I172-(F172-G172-H172),2)</x:f>
        <x:v>0</x:v>
      </x:c>
    </x:row>
    <x:row r="173" ht="24" customHeight="1">
      <x:c r="A173" s="14" t="n">
        <x:v>45323</x:v>
      </x:c>
      <x:c r="B173" s="2" t="str">
        <x:v>B2B</x:v>
      </x:c>
      <x:c r="C173" s="2" t="str">
        <x:v>Centro-Oeste</x:v>
      </x:c>
      <x:c r="D173" s="2" t="str">
        <x:v>M-0168</x:v>
      </x:c>
      <x:c r="E173" s="16" t="n">
        <x:v>34</x:v>
      </x:c>
      <x:c r="F173" s="17" t="n">
        <x:v>39232.87</x:v>
      </x:c>
      <x:c r="G173" s="17" t="n">
        <x:v>1264.17</x:v>
      </x:c>
      <x:c r="H173" s="17" t="n">
        <x:v>647.34</x:v>
      </x:c>
      <x:c r="I173" s="17" t="n">
        <x:v>37321.36</x:v>
      </x:c>
      <x:c r="J173" s="17" t="n">
        <x:v>21244.83</x:v>
      </x:c>
      <x:c r="K173" s="17" t="n">
        <x:v>1194.28</x:v>
      </x:c>
      <x:c r="L173" s="17" t="n">
        <x:v>895.71</x:v>
      </x:c>
      <x:c r="M173" s="17" t="n">
        <x:v>671.78</x:v>
      </x:c>
      <x:c r="N173" s="16" t="n">
        <x:v>10</x:v>
      </x:c>
      <x:c r="O173" s="16" t="n">
        <x:v>3</x:v>
      </x:c>
      <x:c r="P173" s="16" t="n">
        <x:v>1</x:v>
      </x:c>
      <x:c r="Q173" s="16" t="n">
        <x:v>11</x:v>
      </x:c>
      <x:c r="R173" s="16" t="n">
        <x:v>7</x:v>
      </x:c>
      <x:c r="S173" s="16" t="n">
        <x:v>2</x:v>
      </x:c>
      <x:c r="T173" s="15" t="n">
        <x:f>YEAR(A173)</x:f>
        <x:v>2024</x:v>
      </x:c>
      <x:c r="U173" s="15" t="n">
        <x:f>ROUNDUP(MONTH(A173)/3,0)</x:f>
        <x:v>1</x:v>
      </x:c>
      <x:c r="V173" s="18" t="n">
        <x:f>I173-J173</x:f>
        <x:v>16076.529999999999</x:v>
      </x:c>
      <x:c r="W173" s="19" t="n">
        <x:f>IF(I173=0,"",V173/I173)</x:f>
        <x:v>0.4307594900078668</x:v>
      </x:c>
      <x:c r="X173" s="18" t="n">
        <x:f>I173-J173-K173-L173-M173</x:f>
        <x:v>13314.759999999997</x:v>
      </x:c>
      <x:c r="Y173" s="19" t="n">
        <x:f>IF(I173=0,"",X173/I173)</x:f>
        <x:v>0.3567597750992996</x:v>
      </x:c>
      <x:c r="Z173" s="18" t="n">
        <x:f>IF(E173=0,"",F173/E173)</x:f>
        <x:v>1153.9079411764706</x:v>
      </x:c>
      <x:c r="AA173" s="18" t="n">
        <x:f>IF(N173=0,"",M173/N173)</x:f>
        <x:v>67.178</x:v>
      </x:c>
      <x:c r="AB173" s="19" t="n">
        <x:f>IF(E173=0,"",O173/E173)</x:f>
        <x:v>0.08823529411764706</x:v>
      </x:c>
      <x:c r="AC173" s="19" t="n">
        <x:f>IF(E173=0,"",P173/E173)</x:f>
        <x:v>0.029411764705882353</x:v>
      </x:c>
      <x:c r="AD173" s="20" t="n">
        <x:f>IF(Q173=0,"",100*(R173-S173)/Q173)</x:f>
        <x:v>45.45454545454545</x:v>
      </x:c>
      <x:c r="AE173" s="19" t="n">
        <x:f>IF(F173=0,"",G173/F173)</x:f>
        <x:v>0.03222221570840981</x:v>
      </x:c>
      <x:c r="AF173" s="18" t="n">
        <x:f>ROUND(I173-(F173-G173-H173),2)</x:f>
        <x:v>0</x:v>
      </x:c>
    </x:row>
    <x:row r="174" ht="24" customHeight="1">
      <x:c r="A174" s="14" t="n">
        <x:v>45352</x:v>
      </x:c>
      <x:c r="B174" s="2" t="str">
        <x:v>E-commerce</x:v>
      </x:c>
      <x:c r="C174" s="2" t="str">
        <x:v>Sudeste</x:v>
      </x:c>
      <x:c r="D174" s="2" t="str">
        <x:v>M-0169</x:v>
      </x:c>
      <x:c r="E174" s="16" t="n">
        <x:v>174</x:v>
      </x:c>
      <x:c r="F174" s="17" t="n">
        <x:v>202366.84</x:v>
      </x:c>
      <x:c r="G174" s="17" t="n">
        <x:v>6633.14</x:v>
      </x:c>
      <x:c r="H174" s="17" t="n">
        <x:v>3440.24</x:v>
      </x:c>
      <x:c r="I174" s="17" t="n">
        <x:v>192293.46</x:v>
      </x:c>
      <x:c r="J174" s="17" t="n">
        <x:v>103346.6</x:v>
      </x:c>
      <x:c r="K174" s="17" t="n">
        <x:v>10383.85</x:v>
      </x:c>
      <x:c r="L174" s="17" t="n">
        <x:v>4615.04</x:v>
      </x:c>
      <x:c r="M174" s="17" t="n">
        <x:v>14422.01</x:v>
      </x:c>
      <x:c r="N174" s="16" t="n">
        <x:v>90</x:v>
      </x:c>
      <x:c r="O174" s="16" t="n">
        <x:v>17</x:v>
      </x:c>
      <x:c r="P174" s="16" t="n">
        <x:v>4</x:v>
      </x:c>
      <x:c r="Q174" s="16" t="n">
        <x:v>56</x:v>
      </x:c>
      <x:c r="R174" s="16" t="n">
        <x:v>37</x:v>
      </x:c>
      <x:c r="S174" s="16" t="n">
        <x:v>9</x:v>
      </x:c>
      <x:c r="T174" s="15" t="n">
        <x:f>YEAR(A174)</x:f>
        <x:v>2024</x:v>
      </x:c>
      <x:c r="U174" s="15" t="n">
        <x:f>ROUNDUP(MONTH(A174)/3,0)</x:f>
        <x:v>1</x:v>
      </x:c>
      <x:c r="V174" s="18" t="n">
        <x:f>I174-J174</x:f>
        <x:v>88946.85999999999</x:v>
      </x:c>
      <x:c r="W174" s="19" t="n">
        <x:f>IF(I174=0,"",V174/I174)</x:f>
        <x:v>0.4625579049854321</x:v>
      </x:c>
      <x:c r="X174" s="18" t="n">
        <x:f>I174-J174-K174-L174-M174</x:f>
        <x:v>59525.959999999985</x:v>
      </x:c>
      <x:c r="Y174" s="19" t="n">
        <x:f>IF(I174=0,"",X174/I174)</x:f>
        <x:v>0.30955790176119347</x:v>
      </x:c>
      <x:c r="Z174" s="18" t="n">
        <x:f>IF(E174=0,"",F174/E174)</x:f>
        <x:v>1163.027816091954</x:v>
      </x:c>
      <x:c r="AA174" s="18" t="n">
        <x:f>IF(N174=0,"",M174/N174)</x:f>
        <x:v>160.24455555555556</x:v>
      </x:c>
      <x:c r="AB174" s="19" t="n">
        <x:f>IF(E174=0,"",O174/E174)</x:f>
        <x:v>0.09770114942528736</x:v>
      </x:c>
      <x:c r="AC174" s="19" t="n">
        <x:f>IF(E174=0,"",P174/E174)</x:f>
        <x:v>0.022988505747126436</x:v>
      </x:c>
      <x:c r="AD174" s="20" t="n">
        <x:f>IF(Q174=0,"",100*(R174-S174)/Q174)</x:f>
        <x:v>50</x:v>
      </x:c>
      <x:c r="AE174" s="19" t="n">
        <x:f>IF(F174=0,"",G174/F174)</x:f>
        <x:v>0.032777800948020935</x:v>
      </x:c>
      <x:c r="AF174" s="18" t="n">
        <x:f>ROUND(I174-(F174-G174-H174),2)</x:f>
        <x:v>0</x:v>
      </x:c>
    </x:row>
    <x:row r="175" ht="24" customHeight="1">
      <x:c r="A175" s="14" t="n">
        <x:v>45352</x:v>
      </x:c>
      <x:c r="B175" s="2" t="str">
        <x:v>E-commerce</x:v>
      </x:c>
      <x:c r="C175" s="2" t="str">
        <x:v>Nordeste</x:v>
      </x:c>
      <x:c r="D175" s="2" t="str">
        <x:v>M-0170</x:v>
      </x:c>
      <x:c r="E175" s="16" t="n">
        <x:v>115</x:v>
      </x:c>
      <x:c r="F175" s="17" t="n">
        <x:v>133375.06</x:v>
      </x:c>
      <x:c r="G175" s="17" t="n">
        <x:v>4371.74</x:v>
      </x:c>
      <x:c r="H175" s="17" t="n">
        <x:v>2267.38</x:v>
      </x:c>
      <x:c r="I175" s="17" t="n">
        <x:v>126735.94</x:v>
      </x:c>
      <x:c r="J175" s="17" t="n">
        <x:v>72675.26</x:v>
      </x:c>
      <x:c r="K175" s="17" t="n">
        <x:v>6843.74</x:v>
      </x:c>
      <x:c r="L175" s="17" t="n">
        <x:v>3041.66</x:v>
      </x:c>
      <x:c r="M175" s="17" t="n">
        <x:v>9505.2</x:v>
      </x:c>
      <x:c r="N175" s="16" t="n">
        <x:v>60</x:v>
      </x:c>
      <x:c r="O175" s="16" t="n">
        <x:v>11</x:v>
      </x:c>
      <x:c r="P175" s="16" t="n">
        <x:v>3</x:v>
      </x:c>
      <x:c r="Q175" s="16" t="n">
        <x:v>37</x:v>
      </x:c>
      <x:c r="R175" s="16" t="n">
        <x:v>24</x:v>
      </x:c>
      <x:c r="S175" s="16" t="n">
        <x:v>6</x:v>
      </x:c>
      <x:c r="T175" s="15" t="n">
        <x:f>YEAR(A175)</x:f>
        <x:v>2024</x:v>
      </x:c>
      <x:c r="U175" s="15" t="n">
        <x:f>ROUNDUP(MONTH(A175)/3,0)</x:f>
        <x:v>1</x:v>
      </x:c>
      <x:c r="V175" s="18" t="n">
        <x:f>I175-J175</x:f>
        <x:v>54060.68000000001</x:v>
      </x:c>
      <x:c r="W175" s="19" t="n">
        <x:f>IF(I175=0,"",V175/I175)</x:f>
        <x:v>0.42656155783434446</x:v>
      </x:c>
      <x:c r="X175" s="18" t="n">
        <x:f>I175-J175-K175-L175-M175</x:f>
        <x:v>34670.080000000016</x:v>
      </x:c>
      <x:c r="Y175" s="19" t="n">
        <x:f>IF(I175=0,"",X175/I175)</x:f>
        <x:v>0.273561548523647</x:v>
      </x:c>
      <x:c r="Z175" s="18" t="n">
        <x:f>IF(E175=0,"",F175/E175)</x:f>
        <x:v>1159.7831304347826</x:v>
      </x:c>
      <x:c r="AA175" s="18" t="n">
        <x:f>IF(N175=0,"",M175/N175)</x:f>
        <x:v>158.42000000000002</x:v>
      </x:c>
      <x:c r="AB175" s="19" t="n">
        <x:f>IF(E175=0,"",O175/E175)</x:f>
        <x:v>0.09565217391304348</x:v>
      </x:c>
      <x:c r="AC175" s="19" t="n">
        <x:f>IF(E175=0,"",P175/E175)</x:f>
        <x:v>0.02608695652173913</x:v>
      </x:c>
      <x:c r="AD175" s="20" t="n">
        <x:f>IF(Q175=0,"",100*(R175-S175)/Q175)</x:f>
        <x:v>48.648648648648646</x:v>
      </x:c>
      <x:c r="AE175" s="19" t="n">
        <x:f>IF(F175=0,"",G175/F175)</x:f>
        <x:v>0.03277779218993416</x:v>
      </x:c>
      <x:c r="AF175" s="18" t="n">
        <x:f>ROUND(I175-(F175-G175-H175),2)</x:f>
        <x:v>0</x:v>
      </x:c>
    </x:row>
    <x:row r="176" ht="24" customHeight="1">
      <x:c r="A176" s="14" t="n">
        <x:v>45352</x:v>
      </x:c>
      <x:c r="B176" s="2" t="str">
        <x:v>E-commerce</x:v>
      </x:c>
      <x:c r="C176" s="2" t="str">
        <x:v>Sul</x:v>
      </x:c>
      <x:c r="D176" s="2" t="str">
        <x:v>M-0171</x:v>
      </x:c>
      <x:c r="E176" s="16" t="n">
        <x:v>94</x:v>
      </x:c>
      <x:c r="F176" s="17" t="n">
        <x:v>109250.84</x:v>
      </x:c>
      <x:c r="G176" s="17" t="n">
        <x:v>3581</x:v>
      </x:c>
      <x:c r="H176" s="17" t="n">
        <x:v>1857.26</x:v>
      </x:c>
      <x:c r="I176" s="17" t="n">
        <x:v>103812.58</x:v>
      </x:c>
      <x:c r="J176" s="17" t="n">
        <x:v>59389.04</x:v>
      </x:c>
      <x:c r="K176" s="17" t="n">
        <x:v>5605.88</x:v>
      </x:c>
      <x:c r="L176" s="17" t="n">
        <x:v>2491.5</x:v>
      </x:c>
      <x:c r="M176" s="17" t="n">
        <x:v>7785.94</x:v>
      </x:c>
      <x:c r="N176" s="16" t="n">
        <x:v>49</x:v>
      </x:c>
      <x:c r="O176" s="16" t="n">
        <x:v>9</x:v>
      </x:c>
      <x:c r="P176" s="16" t="n">
        <x:v>2</x:v>
      </x:c>
      <x:c r="Q176" s="16" t="n">
        <x:v>30</x:v>
      </x:c>
      <x:c r="R176" s="16" t="n">
        <x:v>20</x:v>
      </x:c>
      <x:c r="S176" s="16" t="n">
        <x:v>5</x:v>
      </x:c>
      <x:c r="T176" s="15" t="n">
        <x:f>YEAR(A176)</x:f>
        <x:v>2024</x:v>
      </x:c>
      <x:c r="U176" s="15" t="n">
        <x:f>ROUNDUP(MONTH(A176)/3,0)</x:f>
        <x:v>1</x:v>
      </x:c>
      <x:c r="V176" s="18" t="n">
        <x:f>I176-J176</x:f>
        <x:v>44423.54</x:v>
      </x:c>
      <x:c r="W176" s="19" t="n">
        <x:f>IF(I176=0,"",V176/I176)</x:f>
        <x:v>0.4279205853471708</x:v>
      </x:c>
      <x:c r="X176" s="18" t="n">
        <x:f>I176-J176-K176-L176-M176</x:f>
        <x:v>28540.220000000005</x:v>
      </x:c>
      <x:c r="Y176" s="19" t="n">
        <x:f>IF(I176=0,"",X176/I176)</x:f>
        <x:v>0.2749206310063771</x:v>
      </x:c>
      <x:c r="Z176" s="18" t="n">
        <x:f>IF(E176=0,"",F176/E176)</x:f>
        <x:v>1162.2429787234041</x:v>
      </x:c>
      <x:c r="AA176" s="18" t="n">
        <x:f>IF(N176=0,"",M176/N176)</x:f>
        <x:v>158.89673469387753</x:v>
      </x:c>
      <x:c r="AB176" s="19" t="n">
        <x:f>IF(E176=0,"",O176/E176)</x:f>
        <x:v>0.09574468085106383</x:v>
      </x:c>
      <x:c r="AC176" s="19" t="n">
        <x:f>IF(E176=0,"",P176/E176)</x:f>
        <x:v>0.02127659574468085</x:v>
      </x:c>
      <x:c r="AD176" s="20" t="n">
        <x:f>IF(Q176=0,"",100*(R176-S176)/Q176)</x:f>
        <x:v>50</x:v>
      </x:c>
      <x:c r="AE176" s="19" t="n">
        <x:f>IF(F176=0,"",G176/F176)</x:f>
        <x:v>0.03277778001523833</x:v>
      </x:c>
      <x:c r="AF176" s="18" t="n">
        <x:f>ROUND(I176-(F176-G176-H176),2)</x:f>
        <x:v>0</x:v>
      </x:c>
    </x:row>
    <x:row r="177" ht="24" customHeight="1">
      <x:c r="A177" s="14" t="n">
        <x:v>45352</x:v>
      </x:c>
      <x:c r="B177" s="2" t="str">
        <x:v>E-commerce</x:v>
      </x:c>
      <x:c r="C177" s="2" t="str">
        <x:v>Centro-Oeste</x:v>
      </x:c>
      <x:c r="D177" s="2" t="str">
        <x:v>M-0172</x:v>
      </x:c>
      <x:c r="E177" s="16" t="n">
        <x:v>73</x:v>
      </x:c>
      <x:c r="F177" s="17" t="n">
        <x:v>84387.65</x:v>
      </x:c>
      <x:c r="G177" s="17" t="n">
        <x:v>2766.04</x:v>
      </x:c>
      <x:c r="H177" s="17" t="n">
        <x:v>1434.59</x:v>
      </x:c>
      <x:c r="I177" s="17" t="n">
        <x:v>80187.02</x:v>
      </x:c>
      <x:c r="J177" s="17" t="n">
        <x:v>43894.18</x:v>
      </x:c>
      <x:c r="K177" s="17" t="n">
        <x:v>4330.1</x:v>
      </x:c>
      <x:c r="L177" s="17" t="n">
        <x:v>1924.49</x:v>
      </x:c>
      <x:c r="M177" s="17" t="n">
        <x:v>6014.03</x:v>
      </x:c>
      <x:c r="N177" s="16" t="n">
        <x:v>38</x:v>
      </x:c>
      <x:c r="O177" s="16" t="n">
        <x:v>7</x:v>
      </x:c>
      <x:c r="P177" s="16" t="n">
        <x:v>2</x:v>
      </x:c>
      <x:c r="Q177" s="16" t="n">
        <x:v>23</x:v>
      </x:c>
      <x:c r="R177" s="16" t="n">
        <x:v>15</x:v>
      </x:c>
      <x:c r="S177" s="16" t="n">
        <x:v>4</x:v>
      </x:c>
      <x:c r="T177" s="15" t="n">
        <x:f>YEAR(A177)</x:f>
        <x:v>2024</x:v>
      </x:c>
      <x:c r="U177" s="15" t="n">
        <x:f>ROUNDUP(MONTH(A177)/3,0)</x:f>
        <x:v>1</x:v>
      </x:c>
      <x:c r="V177" s="18" t="n">
        <x:f>I177-J177</x:f>
        <x:v>36292.840000000004</x:v>
      </x:c>
      <x:c r="W177" s="19" t="n">
        <x:f>IF(I177=0,"",V177/I177)</x:f>
        <x:v>0.4526024286723712</x:v>
      </x:c>
      <x:c r="X177" s="18" t="n">
        <x:f>I177-J177-K177-L177-M177</x:f>
        <x:v>24024.220000000005</x:v>
      </x:c>
      <x:c r="Y177" s="19" t="n">
        <x:f>IF(I177=0,"",X177/I177)</x:f>
        <x:v>0.2996023545955443</x:v>
      </x:c>
      <x:c r="Z177" s="18" t="n">
        <x:f>IF(E177=0,"",F177/E177)</x:f>
        <x:v>1155.995205479452</x:v>
      </x:c>
      <x:c r="AA177" s="18" t="n">
        <x:f>IF(N177=0,"",M177/N177)</x:f>
        <x:v>158.26394736842104</x:v>
      </x:c>
      <x:c r="AB177" s="19" t="n">
        <x:f>IF(E177=0,"",O177/E177)</x:f>
        <x:v>0.0958904109589041</x:v>
      </x:c>
      <x:c r="AC177" s="19" t="n">
        <x:f>IF(E177=0,"",P177/E177)</x:f>
        <x:v>0.0273972602739726</x:v>
      </x:c>
      <x:c r="AD177" s="20" t="n">
        <x:f>IF(Q177=0,"",100*(R177-S177)/Q177)</x:f>
        <x:v>47.82608695652174</x:v>
      </x:c>
      <x:c r="AE177" s="19" t="n">
        <x:f>IF(F177=0,"",G177/F177)</x:f>
        <x:v>0.032777782056971606</x:v>
      </x:c>
      <x:c r="AF177" s="18" t="n">
        <x:f>ROUND(I177-(F177-G177-H177),2)</x:f>
        <x:v>0</x:v>
      </x:c>
    </x:row>
    <x:row r="178" ht="24" customHeight="1">
      <x:c r="A178" s="14" t="n">
        <x:v>45352</x:v>
      </x:c>
      <x:c r="B178" s="2" t="str">
        <x:v>Lojas</x:v>
      </x:c>
      <x:c r="C178" s="2" t="str">
        <x:v>Sudeste</x:v>
      </x:c>
      <x:c r="D178" s="2" t="str">
        <x:v>M-0173</x:v>
      </x:c>
      <x:c r="E178" s="16" t="n">
        <x:v>139</x:v>
      </x:c>
      <x:c r="F178" s="17" t="n">
        <x:v>161776.4</x:v>
      </x:c>
      <x:c r="G178" s="17" t="n">
        <x:v>5302.67</x:v>
      </x:c>
      <x:c r="H178" s="17" t="n">
        <x:v>2750.2</x:v>
      </x:c>
      <x:c r="I178" s="17" t="n">
        <x:v>153723.53</x:v>
      </x:c>
      <x:c r="J178" s="17" t="n">
        <x:v>88346.65</x:v>
      </x:c>
      <x:c r="K178" s="17" t="n">
        <x:v>5072.88</x:v>
      </x:c>
      <x:c r="L178" s="17" t="n">
        <x:v>3689.36</x:v>
      </x:c>
      <x:c r="M178" s="17" t="n">
        <x:v>2767.02</x:v>
      </x:c>
      <x:c r="N178" s="16" t="n">
        <x:v>39</x:v>
      </x:c>
      <x:c r="O178" s="16" t="n">
        <x:v>13</x:v>
      </x:c>
      <x:c r="P178" s="16" t="n">
        <x:v>3</x:v>
      </x:c>
      <x:c r="Q178" s="16" t="n">
        <x:v>44</x:v>
      </x:c>
      <x:c r="R178" s="16" t="n">
        <x:v>29</x:v>
      </x:c>
      <x:c r="S178" s="16" t="n">
        <x:v>7</x:v>
      </x:c>
      <x:c r="T178" s="15" t="n">
        <x:f>YEAR(A178)</x:f>
        <x:v>2024</x:v>
      </x:c>
      <x:c r="U178" s="15" t="n">
        <x:f>ROUNDUP(MONTH(A178)/3,0)</x:f>
        <x:v>1</x:v>
      </x:c>
      <x:c r="V178" s="18" t="n">
        <x:f>I178-J178</x:f>
        <x:v>65376.880000000005</x:v>
      </x:c>
      <x:c r="W178" s="19" t="n">
        <x:f>IF(I178=0,"",V178/I178)</x:f>
        <x:v>0.42528869848356987</x:v>
      </x:c>
      <x:c r="X178" s="18" t="n">
        <x:f>I178-J178-K178-L178-M178</x:f>
        <x:v>53847.62000000001</x:v>
      </x:c>
      <x:c r="Y178" s="19" t="n">
        <x:f>IF(I178=0,"",X178/I178)</x:f>
        <x:v>0.3502887293831986</x:v>
      </x:c>
      <x:c r="Z178" s="18" t="n">
        <x:f>IF(E178=0,"",F178/E178)</x:f>
        <x:v>1163.8589928057554</x:v>
      </x:c>
      <x:c r="AA178" s="18" t="n">
        <x:f>IF(N178=0,"",M178/N178)</x:f>
        <x:v>70.94923076923077</x:v>
      </x:c>
      <x:c r="AB178" s="19" t="n">
        <x:f>IF(E178=0,"",O178/E178)</x:f>
        <x:v>0.09352517985611511</x:v>
      </x:c>
      <x:c r="AC178" s="19" t="n">
        <x:f>IF(E178=0,"",P178/E178)</x:f>
        <x:v>0.02158273381294964</x:v>
      </x:c>
      <x:c r="AD178" s="20" t="n">
        <x:f>IF(Q178=0,"",100*(R178-S178)/Q178)</x:f>
        <x:v>50</x:v>
      </x:c>
      <x:c r="AE178" s="19" t="n">
        <x:f>IF(F178=0,"",G178/F178)</x:f>
        <x:v>0.03277777228322549</x:v>
      </x:c>
      <x:c r="AF178" s="18" t="n">
        <x:f>ROUND(I178-(F178-G178-H178),2)</x:f>
        <x:v>0</x:v>
      </x:c>
    </x:row>
    <x:row r="179" ht="24" customHeight="1">
      <x:c r="A179" s="14" t="n">
        <x:v>45352</x:v>
      </x:c>
      <x:c r="B179" s="2" t="str">
        <x:v>Lojas</x:v>
      </x:c>
      <x:c r="C179" s="2" t="str">
        <x:v>Nordeste</x:v>
      </x:c>
      <x:c r="D179" s="2" t="str">
        <x:v>M-0174</x:v>
      </x:c>
      <x:c r="E179" s="16" t="n">
        <x:v>92</x:v>
      </x:c>
      <x:c r="F179" s="17" t="n">
        <x:v>107089.33</x:v>
      </x:c>
      <x:c r="G179" s="17" t="n">
        <x:v>3510.15</x:v>
      </x:c>
      <x:c r="H179" s="17" t="n">
        <x:v>1820.52</x:v>
      </x:c>
      <x:c r="I179" s="17" t="n">
        <x:v>101758.66</x:v>
      </x:c>
      <x:c r="J179" s="17" t="n">
        <x:v>57826.97</x:v>
      </x:c>
      <x:c r="K179" s="17" t="n">
        <x:v>3358.04</x:v>
      </x:c>
      <x:c r="L179" s="17" t="n">
        <x:v>2442.21</x:v>
      </x:c>
      <x:c r="M179" s="17" t="n">
        <x:v>1831.66</x:v>
      </x:c>
      <x:c r="N179" s="16" t="n">
        <x:v>26</x:v>
      </x:c>
      <x:c r="O179" s="16" t="n">
        <x:v>9</x:v>
      </x:c>
      <x:c r="P179" s="16" t="n">
        <x:v>2</x:v>
      </x:c>
      <x:c r="Q179" s="16" t="n">
        <x:v>29</x:v>
      </x:c>
      <x:c r="R179" s="16" t="n">
        <x:v>19</x:v>
      </x:c>
      <x:c r="S179" s="16" t="n">
        <x:v>5</x:v>
      </x:c>
      <x:c r="T179" s="15" t="n">
        <x:f>YEAR(A179)</x:f>
        <x:v>2024</x:v>
      </x:c>
      <x:c r="U179" s="15" t="n">
        <x:f>ROUNDUP(MONTH(A179)/3,0)</x:f>
        <x:v>1</x:v>
      </x:c>
      <x:c r="V179" s="18" t="n">
        <x:f>I179-J179</x:f>
        <x:v>43931.69</x:v>
      </x:c>
      <x:c r="W179" s="19" t="n">
        <x:f>IF(I179=0,"",V179/I179)</x:f>
        <x:v>0.43172433677880584</x:v>
      </x:c>
      <x:c r="X179" s="18" t="n">
        <x:f>I179-J179-K179-L179-M179</x:f>
        <x:v>36299.78</x:v>
      </x:c>
      <x:c r="Y179" s="19" t="n">
        <x:f>IF(I179=0,"",X179/I179)</x:f>
        <x:v>0.3567242335934848</x:v>
      </x:c>
      <x:c r="Z179" s="18" t="n">
        <x:f>IF(E179=0,"",F179/E179)</x:f>
        <x:v>1164.0144565217392</x:v>
      </x:c>
      <x:c r="AA179" s="18" t="n">
        <x:f>IF(N179=0,"",M179/N179)</x:f>
        <x:v>70.44846153846154</x:v>
      </x:c>
      <x:c r="AB179" s="19" t="n">
        <x:f>IF(E179=0,"",O179/E179)</x:f>
        <x:v>0.09782608695652174</x:v>
      </x:c>
      <x:c r="AC179" s="19" t="n">
        <x:f>IF(E179=0,"",P179/E179)</x:f>
        <x:v>0.021739130434782608</x:v>
      </x:c>
      <x:c r="AD179" s="20" t="n">
        <x:f>IF(Q179=0,"",100*(R179-S179)/Q179)</x:f>
        <x:v>48.275862068965516</x:v>
      </x:c>
      <x:c r="AE179" s="19" t="n">
        <x:f>IF(F179=0,"",G179/F179)</x:f>
        <x:v>0.03277777533952262</x:v>
      </x:c>
      <x:c r="AF179" s="18" t="n">
        <x:f>ROUND(I179-(F179-G179-H179),2)</x:f>
        <x:v>0</x:v>
      </x:c>
    </x:row>
    <x:row r="180" ht="24" customHeight="1">
      <x:c r="A180" s="14" t="n">
        <x:v>45352</x:v>
      </x:c>
      <x:c r="B180" s="2" t="str">
        <x:v>Lojas</x:v>
      </x:c>
      <x:c r="C180" s="2" t="str">
        <x:v>Sul</x:v>
      </x:c>
      <x:c r="D180" s="2" t="str">
        <x:v>M-0175</x:v>
      </x:c>
      <x:c r="E180" s="16" t="n">
        <x:v>83</x:v>
      </x:c>
      <x:c r="F180" s="17" t="n">
        <x:v>96812.32</x:v>
      </x:c>
      <x:c r="G180" s="17" t="n">
        <x:v>3173.29</x:v>
      </x:c>
      <x:c r="H180" s="17" t="n">
        <x:v>1645.81</x:v>
      </x:c>
      <x:c r="I180" s="17" t="n">
        <x:v>91993.22</x:v>
      </x:c>
      <x:c r="J180" s="17" t="n">
        <x:v>49972.94</x:v>
      </x:c>
      <x:c r="K180" s="17" t="n">
        <x:v>3035.78</x:v>
      </x:c>
      <x:c r="L180" s="17" t="n">
        <x:v>2207.84</x:v>
      </x:c>
      <x:c r="M180" s="17" t="n">
        <x:v>1655.88</x:v>
      </x:c>
      <x:c r="N180" s="16" t="n">
        <x:v>23</x:v>
      </x:c>
      <x:c r="O180" s="16" t="n">
        <x:v>8</x:v>
      </x:c>
      <x:c r="P180" s="16" t="n">
        <x:v>2</x:v>
      </x:c>
      <x:c r="Q180" s="16" t="n">
        <x:v>27</x:v>
      </x:c>
      <x:c r="R180" s="16" t="n">
        <x:v>18</x:v>
      </x:c>
      <x:c r="S180" s="16" t="n">
        <x:v>4</x:v>
      </x:c>
      <x:c r="T180" s="15" t="n">
        <x:f>YEAR(A180)</x:f>
        <x:v>2024</x:v>
      </x:c>
      <x:c r="U180" s="15" t="n">
        <x:f>ROUNDUP(MONTH(A180)/3,0)</x:f>
        <x:v>1</x:v>
      </x:c>
      <x:c r="V180" s="18" t="n">
        <x:f>I180-J180</x:f>
        <x:v>42020.28</x:v>
      </x:c>
      <x:c r="W180" s="19" t="n">
        <x:f>IF(I180=0,"",V180/I180)</x:f>
        <x:v>0.45677583630619734</x:v>
      </x:c>
      <x:c r="X180" s="18" t="n">
        <x:f>I180-J180-K180-L180-M180</x:f>
        <x:v>35120.780000000006</x:v>
      </x:c>
      <x:c r="Y180" s="19" t="n">
        <x:f>IF(I180=0,"",X180/I180)</x:f>
        <x:v>0.3817757439080837</x:v>
      </x:c>
      <x:c r="Z180" s="18" t="n">
        <x:f>IF(E180=0,"",F180/E180)</x:f>
        <x:v>1166.4134939759037</x:v>
      </x:c>
      <x:c r="AA180" s="18" t="n">
        <x:f>IF(N180=0,"",M180/N180)</x:f>
        <x:v>71.99478260869566</x:v>
      </x:c>
      <x:c r="AB180" s="19" t="n">
        <x:f>IF(E180=0,"",O180/E180)</x:f>
        <x:v>0.0963855421686747</x:v>
      </x:c>
      <x:c r="AC180" s="19" t="n">
        <x:f>IF(E180=0,"",P180/E180)</x:f>
        <x:v>0.024096385542168676</x:v>
      </x:c>
      <x:c r="AD180" s="20" t="n">
        <x:f>IF(Q180=0,"",100*(R180-S180)/Q180)</x:f>
        <x:v>51.851851851851855</x:v>
      </x:c>
      <x:c r="AE180" s="19" t="n">
        <x:f>IF(F180=0,"",G180/F180)</x:f>
        <x:v>0.0327777497739957</x:v>
      </x:c>
      <x:c r="AF180" s="18" t="n">
        <x:f>ROUND(I180-(F180-G180-H180),2)</x:f>
        <x:v>0</x:v>
      </x:c>
    </x:row>
    <x:row r="181" ht="24" customHeight="1">
      <x:c r="A181" s="14" t="n">
        <x:v>45352</x:v>
      </x:c>
      <x:c r="B181" s="2" t="str">
        <x:v>Lojas</x:v>
      </x:c>
      <x:c r="C181" s="2" t="str">
        <x:v>Centro-Oeste</x:v>
      </x:c>
      <x:c r="D181" s="2" t="str">
        <x:v>M-0176</x:v>
      </x:c>
      <x:c r="E181" s="16" t="n">
        <x:v>56</x:v>
      </x:c>
      <x:c r="F181" s="17" t="n">
        <x:v>64602.43</x:v>
      </x:c>
      <x:c r="G181" s="17" t="n">
        <x:v>2117.52</x:v>
      </x:c>
      <x:c r="H181" s="17" t="n">
        <x:v>1098.24</x:v>
      </x:c>
      <x:c r="I181" s="17" t="n">
        <x:v>61386.67</x:v>
      </x:c>
      <x:c r="J181" s="17" t="n">
        <x:v>33350.21</x:v>
      </x:c>
      <x:c r="K181" s="17" t="n">
        <x:v>2025.76</x:v>
      </x:c>
      <x:c r="L181" s="17" t="n">
        <x:v>1473.28</x:v>
      </x:c>
      <x:c r="M181" s="17" t="n">
        <x:v>1104.96</x:v>
      </x:c>
      <x:c r="N181" s="16" t="n">
        <x:v>16</x:v>
      </x:c>
      <x:c r="O181" s="16" t="n">
        <x:v>5</x:v>
      </x:c>
      <x:c r="P181" s="16" t="n">
        <x:v>1</x:v>
      </x:c>
      <x:c r="Q181" s="16" t="n">
        <x:v>18</x:v>
      </x:c>
      <x:c r="R181" s="16" t="n">
        <x:v>12</x:v>
      </x:c>
      <x:c r="S181" s="16" t="n">
        <x:v>3</x:v>
      </x:c>
      <x:c r="T181" s="15" t="n">
        <x:f>YEAR(A181)</x:f>
        <x:v>2024</x:v>
      </x:c>
      <x:c r="U181" s="15" t="n">
        <x:f>ROUNDUP(MONTH(A181)/3,0)</x:f>
        <x:v>1</x:v>
      </x:c>
      <x:c r="V181" s="18" t="n">
        <x:f>I181-J181</x:f>
        <x:v>28036.46</x:v>
      </x:c>
      <x:c r="W181" s="19" t="n">
        <x:f>IF(I181=0,"",V181/I181)</x:f>
        <x:v>0.45671902385322416</x:v>
      </x:c>
      <x:c r="X181" s="18" t="n">
        <x:f>I181-J181-K181-L181-M181</x:f>
        <x:v>23432.460000000003</x:v>
      </x:c>
      <x:c r="Y181" s="19" t="n">
        <x:f>IF(I181=0,"",X181/I181)</x:f>
        <x:v>0.3817190279257696</x:v>
      </x:c>
      <x:c r="Z181" s="18" t="n">
        <x:f>IF(E181=0,"",F181/E181)</x:f>
        <x:v>1153.6148214285715</x:v>
      </x:c>
      <x:c r="AA181" s="18" t="n">
        <x:f>IF(N181=0,"",M181/N181)</x:f>
        <x:v>69.06</x:v>
      </x:c>
      <x:c r="AB181" s="19" t="n">
        <x:f>IF(E181=0,"",O181/E181)</x:f>
        <x:v>0.08928571428571429</x:v>
      </x:c>
      <x:c r="AC181" s="19" t="n">
        <x:f>IF(E181=0,"",P181/E181)</x:f>
        <x:v>0.017857142857142856</x:v>
      </x:c>
      <x:c r="AD181" s="20" t="n">
        <x:f>IF(Q181=0,"",100*(R181-S181)/Q181)</x:f>
        <x:v>50</x:v>
      </x:c>
      <x:c r="AE181" s="19" t="n">
        <x:f>IF(F181=0,"",G181/F181)</x:f>
        <x:v>0.0327777143986689</x:v>
      </x:c>
      <x:c r="AF181" s="18" t="n">
        <x:f>ROUND(I181-(F181-G181-H181),2)</x:f>
        <x:v>0</x:v>
      </x:c>
    </x:row>
    <x:row r="182" ht="24" customHeight="1">
      <x:c r="A182" s="14" t="n">
        <x:v>45352</x:v>
      </x:c>
      <x:c r="B182" s="2" t="str">
        <x:v>B2B</x:v>
      </x:c>
      <x:c r="C182" s="2" t="str">
        <x:v>Sudeste</x:v>
      </x:c>
      <x:c r="D182" s="2" t="str">
        <x:v>M-0177</x:v>
      </x:c>
      <x:c r="E182" s="16" t="n">
        <x:v>79</x:v>
      </x:c>
      <x:c r="F182" s="17" t="n">
        <x:v>91917.77</x:v>
      </x:c>
      <x:c r="G182" s="17" t="n">
        <x:v>3012.86</x:v>
      </x:c>
      <x:c r="H182" s="17" t="n">
        <x:v>1562.6</x:v>
      </x:c>
      <x:c r="I182" s="17" t="n">
        <x:v>87342.31</x:v>
      </x:c>
      <x:c r="J182" s="17" t="n">
        <x:v>48797.58</x:v>
      </x:c>
      <x:c r="K182" s="17" t="n">
        <x:v>2882.3</x:v>
      </x:c>
      <x:c r="L182" s="17" t="n">
        <x:v>2096.22</x:v>
      </x:c>
      <x:c r="M182" s="17" t="n">
        <x:v>1572.16</x:v>
      </x:c>
      <x:c r="N182" s="16" t="n">
        <x:v>22</x:v>
      </x:c>
      <x:c r="O182" s="16" t="n">
        <x:v>8</x:v>
      </x:c>
      <x:c r="P182" s="16" t="n">
        <x:v>2</x:v>
      </x:c>
      <x:c r="Q182" s="16" t="n">
        <x:v>25</x:v>
      </x:c>
      <x:c r="R182" s="16" t="n">
        <x:v>16</x:v>
      </x:c>
      <x:c r="S182" s="16" t="n">
        <x:v>4</x:v>
      </x:c>
      <x:c r="T182" s="15" t="n">
        <x:f>YEAR(A182)</x:f>
        <x:v>2024</x:v>
      </x:c>
      <x:c r="U182" s="15" t="n">
        <x:f>ROUNDUP(MONTH(A182)/3,0)</x:f>
        <x:v>1</x:v>
      </x:c>
      <x:c r="V182" s="18" t="n">
        <x:f>I182-J182</x:f>
        <x:v>38544.729999999996</x:v>
      </x:c>
      <x:c r="W182" s="19" t="n">
        <x:f>IF(I182=0,"",V182/I182)</x:f>
        <x:v>0.4413065099835349</x:v>
      </x:c>
      <x:c r="X182" s="18" t="n">
        <x:f>I182-J182-K182-L182-M182</x:f>
        <x:v>31994.049999999992</x:v>
      </x:c>
      <x:c r="Y182" s="19" t="n">
        <x:f>IF(I182=0,"",X182/I182)</x:f>
        <x:v>0.366306432701402</x:v>
      </x:c>
      <x:c r="Z182" s="18" t="n">
        <x:f>IF(E182=0,"",F182/E182)</x:f>
        <x:v>1163.5160759493672</x:v>
      </x:c>
      <x:c r="AA182" s="18" t="n">
        <x:f>IF(N182=0,"",M182/N182)</x:f>
        <x:v>71.46181818181819</x:v>
      </x:c>
      <x:c r="AB182" s="19" t="n">
        <x:f>IF(E182=0,"",O182/E182)</x:f>
        <x:v>0.10126582278481013</x:v>
      </x:c>
      <x:c r="AC182" s="19" t="n">
        <x:f>IF(E182=0,"",P182/E182)</x:f>
        <x:v>0.02531645569620253</x:v>
      </x:c>
      <x:c r="AD182" s="20" t="n">
        <x:f>IF(Q182=0,"",100*(R182-S182)/Q182)</x:f>
        <x:v>48</x:v>
      </x:c>
      <x:c r="AE182" s="19" t="n">
        <x:f>IF(F182=0,"",G182/F182)</x:f>
        <x:v>0.032777775178836475</x:v>
      </x:c>
      <x:c r="AF182" s="18" t="n">
        <x:f>ROUND(I182-(F182-G182-H182),2)</x:f>
        <x:v>0</x:v>
      </x:c>
    </x:row>
    <x:row r="183" ht="24" customHeight="1">
      <x:c r="A183" s="14" t="n">
        <x:v>45352</x:v>
      </x:c>
      <x:c r="B183" s="2" t="str">
        <x:v>B2B</x:v>
      </x:c>
      <x:c r="C183" s="2" t="str">
        <x:v>Nordeste</x:v>
      </x:c>
      <x:c r="D183" s="2" t="str">
        <x:v>M-0178</x:v>
      </x:c>
      <x:c r="E183" s="16" t="n">
        <x:v>66</x:v>
      </x:c>
      <x:c r="F183" s="17" t="n">
        <x:v>76127.57</x:v>
      </x:c>
      <x:c r="G183" s="17" t="n">
        <x:v>2495.29</x:v>
      </x:c>
      <x:c r="H183" s="17" t="n">
        <x:v>1294.17</x:v>
      </x:c>
      <x:c r="I183" s="17" t="n">
        <x:v>72338.11</x:v>
      </x:c>
      <x:c r="J183" s="17" t="n">
        <x:v>41033.27</x:v>
      </x:c>
      <x:c r="K183" s="17" t="n">
        <x:v>2387.16</x:v>
      </x:c>
      <x:c r="L183" s="17" t="n">
        <x:v>1736.11</x:v>
      </x:c>
      <x:c r="M183" s="17" t="n">
        <x:v>1302.09</x:v>
      </x:c>
      <x:c r="N183" s="16" t="n">
        <x:v>18</x:v>
      </x:c>
      <x:c r="O183" s="16" t="n">
        <x:v>6</x:v>
      </x:c>
      <x:c r="P183" s="16" t="n">
        <x:v>2</x:v>
      </x:c>
      <x:c r="Q183" s="16" t="n">
        <x:v>21</x:v>
      </x:c>
      <x:c r="R183" s="16" t="n">
        <x:v>14</x:v>
      </x:c>
      <x:c r="S183" s="16" t="n">
        <x:v>3</x:v>
      </x:c>
      <x:c r="T183" s="15" t="n">
        <x:f>YEAR(A183)</x:f>
        <x:v>2024</x:v>
      </x:c>
      <x:c r="U183" s="15" t="n">
        <x:f>ROUNDUP(MONTH(A183)/3,0)</x:f>
        <x:v>1</x:v>
      </x:c>
      <x:c r="V183" s="18" t="n">
        <x:f>I183-J183</x:f>
        <x:v>31304.840000000004</x:v>
      </x:c>
      <x:c r="W183" s="19" t="n">
        <x:f>IF(I183=0,"",V183/I183)</x:f>
        <x:v>0.4327572285203471</x:v>
      </x:c>
      <x:c r="X183" s="18" t="n">
        <x:f>I183-J183-K183-L183-M183</x:f>
        <x:v>25879.480000000003</x:v>
      </x:c>
      <x:c r="Y183" s="19" t="n">
        <x:f>IF(I183=0,"",X183/I183)</x:f>
        <x:v>0.35775720432839625</x:v>
      </x:c>
      <x:c r="Z183" s="18" t="n">
        <x:f>IF(E183=0,"",F183/E183)</x:f>
        <x:v>1153.4480303030305</x:v>
      </x:c>
      <x:c r="AA183" s="18" t="n">
        <x:f>IF(N183=0,"",M183/N183)</x:f>
        <x:v>72.33833333333332</x:v>
      </x:c>
      <x:c r="AB183" s="19" t="n">
        <x:f>IF(E183=0,"",O183/E183)</x:f>
        <x:v>0.09090909090909091</x:v>
      </x:c>
      <x:c r="AC183" s="19" t="n">
        <x:f>IF(E183=0,"",P183/E183)</x:f>
        <x:v>0.030303030303030304</x:v>
      </x:c>
      <x:c r="AD183" s="20" t="n">
        <x:f>IF(Q183=0,"",100*(R183-S183)/Q183)</x:f>
        <x:v>52.38095238095238</x:v>
      </x:c>
      <x:c r="AE183" s="19" t="n">
        <x:f>IF(F183=0,"",G183/F183)</x:f>
        <x:v>0.032777743989463995</x:v>
      </x:c>
      <x:c r="AF183" s="18" t="n">
        <x:f>ROUND(I183-(F183-G183-H183),2)</x:f>
        <x:v>0</x:v>
      </x:c>
    </x:row>
    <x:row r="184" ht="24" customHeight="1">
      <x:c r="A184" s="14" t="n">
        <x:v>45352</x:v>
      </x:c>
      <x:c r="B184" s="2" t="str">
        <x:v>B2B</x:v>
      </x:c>
      <x:c r="C184" s="2" t="str">
        <x:v>Sul</x:v>
      </x:c>
      <x:c r="D184" s="2" t="str">
        <x:v>M-0179</x:v>
      </x:c>
      <x:c r="E184" s="16" t="n">
        <x:v>46</x:v>
      </x:c>
      <x:c r="F184" s="17" t="n">
        <x:v>53292.4</x:v>
      </x:c>
      <x:c r="G184" s="17" t="n">
        <x:v>1746.81</x:v>
      </x:c>
      <x:c r="H184" s="17" t="n">
        <x:v>905.97</x:v>
      </x:c>
      <x:c r="I184" s="17" t="n">
        <x:v>50639.62</x:v>
      </x:c>
      <x:c r="J184" s="17" t="n">
        <x:v>28987.63</x:v>
      </x:c>
      <x:c r="K184" s="17" t="n">
        <x:v>1671.11</x:v>
      </x:c>
      <x:c r="L184" s="17" t="n">
        <x:v>1215.35</x:v>
      </x:c>
      <x:c r="M184" s="17" t="n">
        <x:v>911.51</x:v>
      </x:c>
      <x:c r="N184" s="16" t="n">
        <x:v>13</x:v>
      </x:c>
      <x:c r="O184" s="16" t="n">
        <x:v>4</x:v>
      </x:c>
      <x:c r="P184" s="16" t="n">
        <x:v>1</x:v>
      </x:c>
      <x:c r="Q184" s="16" t="n">
        <x:v>15</x:v>
      </x:c>
      <x:c r="R184" s="16" t="n">
        <x:v>10</x:v>
      </x:c>
      <x:c r="S184" s="16" t="n">
        <x:v>2</x:v>
      </x:c>
      <x:c r="T184" s="15" t="n">
        <x:f>YEAR(A184)</x:f>
        <x:v>2024</x:v>
      </x:c>
      <x:c r="U184" s="15" t="n">
        <x:f>ROUNDUP(MONTH(A184)/3,0)</x:f>
        <x:v>1</x:v>
      </x:c>
      <x:c r="V184" s="18" t="n">
        <x:f>I184-J184</x:f>
        <x:v>21651.99</x:v>
      </x:c>
      <x:c r="W184" s="19" t="n">
        <x:f>IF(I184=0,"",V184/I184)</x:f>
        <x:v>0.42757015159276474</x:v>
      </x:c>
      <x:c r="X184" s="18" t="n">
        <x:f>I184-J184-K184-L184-M184</x:f>
        <x:v>17854.020000000004</x:v>
      </x:c>
      <x:c r="Y184" s="19" t="n">
        <x:f>IF(I184=0,"",X184/I184)</x:f>
        <x:v>0.35257018121384015</x:v>
      </x:c>
      <x:c r="Z184" s="18" t="n">
        <x:f>IF(E184=0,"",F184/E184)</x:f>
        <x:v>1158.5304347826088</x:v>
      </x:c>
      <x:c r="AA184" s="18" t="n">
        <x:f>IF(N184=0,"",M184/N184)</x:f>
        <x:v>70.11615384615385</x:v>
      </x:c>
      <x:c r="AB184" s="19" t="n">
        <x:f>IF(E184=0,"",O184/E184)</x:f>
        <x:v>0.08695652173913043</x:v>
      </x:c>
      <x:c r="AC184" s="19" t="n">
        <x:f>IF(E184=0,"",P184/E184)</x:f>
        <x:v>0.021739130434782608</x:v>
      </x:c>
      <x:c r="AD184" s="20" t="n">
        <x:f>IF(Q184=0,"",100*(R184-S184)/Q184)</x:f>
        <x:v>53.333333333333336</x:v>
      </x:c>
      <x:c r="AE184" s="19" t="n">
        <x:f>IF(F184=0,"",G184/F184)</x:f>
        <x:v>0.03277784449565041</x:v>
      </x:c>
      <x:c r="AF184" s="18" t="n">
        <x:f>ROUND(I184-(F184-G184-H184),2)</x:f>
        <x:v>0</x:v>
      </x:c>
    </x:row>
    <x:row r="185" ht="24" customHeight="1">
      <x:c r="A185" s="14" t="n">
        <x:v>45352</x:v>
      </x:c>
      <x:c r="B185" s="2" t="str">
        <x:v>B2B</x:v>
      </x:c>
      <x:c r="C185" s="2" t="str">
        <x:v>Centro-Oeste</x:v>
      </x:c>
      <x:c r="D185" s="2" t="str">
        <x:v>M-0180</x:v>
      </x:c>
      <x:c r="E185" s="16" t="n">
        <x:v>34</x:v>
      </x:c>
      <x:c r="F185" s="17" t="n">
        <x:v>39690.76</x:v>
      </x:c>
      <x:c r="G185" s="17" t="n">
        <x:v>1300.97</x:v>
      </x:c>
      <x:c r="H185" s="17" t="n">
        <x:v>674.74</x:v>
      </x:c>
      <x:c r="I185" s="17" t="n">
        <x:v>37715.05</x:v>
      </x:c>
      <x:c r="J185" s="17" t="n">
        <x:v>20206.37</x:v>
      </x:c>
      <x:c r="K185" s="17" t="n">
        <x:v>1244.6</x:v>
      </x:c>
      <x:c r="L185" s="17" t="n">
        <x:v>905.16</x:v>
      </x:c>
      <x:c r="M185" s="17" t="n">
        <x:v>678.87</x:v>
      </x:c>
      <x:c r="N185" s="16" t="n">
        <x:v>10</x:v>
      </x:c>
      <x:c r="O185" s="16" t="n">
        <x:v>3</x:v>
      </x:c>
      <x:c r="P185" s="16" t="n">
        <x:v>1</x:v>
      </x:c>
      <x:c r="Q185" s="16" t="n">
        <x:v>11</x:v>
      </x:c>
      <x:c r="R185" s="16" t="n">
        <x:v>7</x:v>
      </x:c>
      <x:c r="S185" s="16" t="n">
        <x:v>2</x:v>
      </x:c>
      <x:c r="T185" s="15" t="n">
        <x:f>YEAR(A185)</x:f>
        <x:v>2024</x:v>
      </x:c>
      <x:c r="U185" s="15" t="n">
        <x:f>ROUNDUP(MONTH(A185)/3,0)</x:f>
        <x:v>1</x:v>
      </x:c>
      <x:c r="V185" s="18" t="n">
        <x:f>I185-J185</x:f>
        <x:v>17508.680000000004</x:v>
      </x:c>
      <x:c r="W185" s="19" t="n">
        <x:f>IF(I185=0,"",V185/I185)</x:f>
        <x:v>0.4642358952195477</x:v>
      </x:c>
      <x:c r="X185" s="18" t="n">
        <x:f>I185-J185-K185-L185-M185</x:f>
        <x:v>14680.050000000003</x:v>
      </x:c>
      <x:c r="Y185" s="19" t="n">
        <x:f>IF(I185=0,"",X185/I185)</x:f>
        <x:v>0.3892358620762799</x:v>
      </x:c>
      <x:c r="Z185" s="18" t="n">
        <x:f>IF(E185=0,"",F185/E185)</x:f>
        <x:v>1167.3752941176472</x:v>
      </x:c>
      <x:c r="AA185" s="18" t="n">
        <x:f>IF(N185=0,"",M185/N185)</x:f>
        <x:v>67.887</x:v>
      </x:c>
      <x:c r="AB185" s="19" t="n">
        <x:f>IF(E185=0,"",O185/E185)</x:f>
        <x:v>0.08823529411764706</x:v>
      </x:c>
      <x:c r="AC185" s="19" t="n">
        <x:f>IF(E185=0,"",P185/E185)</x:f>
        <x:v>0.029411764705882353</x:v>
      </x:c>
      <x:c r="AD185" s="20" t="n">
        <x:f>IF(Q185=0,"",100*(R185-S185)/Q185)</x:f>
        <x:v>45.45454545454545</x:v>
      </x:c>
      <x:c r="AE185" s="19" t="n">
        <x:f>IF(F185=0,"",G185/F185)</x:f>
        <x:v>0.0327776540434096</x:v>
      </x:c>
      <x:c r="AF185" s="18" t="n">
        <x:f>ROUND(I185-(F185-G185-H185),2)</x:f>
        <x:v>0</x:v>
      </x:c>
    </x:row>
    <x:row r="186" ht="24" customHeight="1">
      <x:c r="A186" s="14" t="n">
        <x:v>45383</x:v>
      </x:c>
      <x:c r="B186" s="2" t="str">
        <x:v>E-commerce</x:v>
      </x:c>
      <x:c r="C186" s="2" t="str">
        <x:v>Sudeste</x:v>
      </x:c>
      <x:c r="D186" s="2" t="str">
        <x:v>M-0181</x:v>
      </x:c>
      <x:c r="E186" s="16" t="n">
        <x:v>166</x:v>
      </x:c>
      <x:c r="F186" s="17" t="n">
        <x:v>193425.8</x:v>
      </x:c>
      <x:c r="G186" s="17" t="n">
        <x:v>6447.53</x:v>
      </x:c>
      <x:c r="H186" s="17" t="n">
        <x:v>3384.95</x:v>
      </x:c>
      <x:c r="I186" s="17" t="n">
        <x:v>183593.32</x:v>
      </x:c>
      <x:c r="J186" s="17" t="n">
        <x:v>105256.37</x:v>
      </x:c>
      <x:c r="K186" s="17" t="n">
        <x:v>10097.63</x:v>
      </x:c>
      <x:c r="L186" s="17" t="n">
        <x:v>4406.24</x:v>
      </x:c>
      <x:c r="M186" s="17" t="n">
        <x:v>13769.5</x:v>
      </x:c>
      <x:c r="N186" s="16" t="n">
        <x:v>86</x:v>
      </x:c>
      <x:c r="O186" s="16" t="n">
        <x:v>17</x:v>
      </x:c>
      <x:c r="P186" s="16" t="n">
        <x:v>4</x:v>
      </x:c>
      <x:c r="Q186" s="16" t="n">
        <x:v>53</x:v>
      </x:c>
      <x:c r="R186" s="16" t="n">
        <x:v>34</x:v>
      </x:c>
      <x:c r="S186" s="16" t="n">
        <x:v>8</x:v>
      </x:c>
      <x:c r="T186" s="15" t="n">
        <x:f>YEAR(A186)</x:f>
        <x:v>2024</x:v>
      </x:c>
      <x:c r="U186" s="15" t="n">
        <x:f>ROUNDUP(MONTH(A186)/3,0)</x:f>
        <x:v>2</x:v>
      </x:c>
      <x:c r="V186" s="18" t="n">
        <x:f>I186-J186</x:f>
        <x:v>78336.95000000001</x:v>
      </x:c>
      <x:c r="W186" s="19" t="n">
        <x:f>IF(I186=0,"",V186/I186)</x:f>
        <x:v>0.42668736531372714</x:v>
      </x:c>
      <x:c r="X186" s="18" t="n">
        <x:f>I186-J186-K186-L186-M186</x:f>
        <x:v>50063.58000000001</x:v>
      </x:c>
      <x:c r="Y186" s="19" t="n">
        <x:f>IF(I186=0,"",X186/I186)</x:f>
        <x:v>0.27268737228565837</x:v>
      </x:c>
      <x:c r="Z186" s="18" t="n">
        <x:f>IF(E186=0,"",F186/E186)</x:f>
        <x:v>1165.2156626506023</x:v>
      </x:c>
      <x:c r="AA186" s="18" t="n">
        <x:f>IF(N186=0,"",M186/N186)</x:f>
        <x:v>160.11046511627907</x:v>
      </x:c>
      <x:c r="AB186" s="19" t="n">
        <x:f>IF(E186=0,"",O186/E186)</x:f>
        <x:v>0.10240963855421686</x:v>
      </x:c>
      <x:c r="AC186" s="19" t="n">
        <x:f>IF(E186=0,"",P186/E186)</x:f>
        <x:v>0.024096385542168676</x:v>
      </x:c>
      <x:c r="AD186" s="20" t="n">
        <x:f>IF(Q186=0,"",100*(R186-S186)/Q186)</x:f>
        <x:v>49.056603773584904</x:v>
      </x:c>
      <x:c r="AE186" s="19" t="n">
        <x:f>IF(F186=0,"",G186/F186)</x:f>
        <x:v>0.03333335056647045</x:v>
      </x:c>
      <x:c r="AF186" s="18" t="n">
        <x:f>ROUND(I186-(F186-G186-H186),2)</x:f>
        <x:v>0</x:v>
      </x:c>
    </x:row>
    <x:row r="187" ht="24" customHeight="1">
      <x:c r="A187" s="14" t="n">
        <x:v>45383</x:v>
      </x:c>
      <x:c r="B187" s="2" t="str">
        <x:v>E-commerce</x:v>
      </x:c>
      <x:c r="C187" s="2" t="str">
        <x:v>Nordeste</x:v>
      </x:c>
      <x:c r="D187" s="2" t="str">
        <x:v>M-0182</x:v>
      </x:c>
      <x:c r="E187" s="16" t="n">
        <x:v>101</x:v>
      </x:c>
      <x:c r="F187" s="17" t="n">
        <x:v>117739.52</x:v>
      </x:c>
      <x:c r="G187" s="17" t="n">
        <x:v>3924.65</x:v>
      </x:c>
      <x:c r="H187" s="17" t="n">
        <x:v>2060.44</x:v>
      </x:c>
      <x:c r="I187" s="17" t="n">
        <x:v>111754.43</x:v>
      </x:c>
      <x:c r="J187" s="17" t="n">
        <x:v>64484.9</x:v>
      </x:c>
      <x:c r="K187" s="17" t="n">
        <x:v>6146.49</x:v>
      </x:c>
      <x:c r="L187" s="17" t="n">
        <x:v>2682.11</x:v>
      </x:c>
      <x:c r="M187" s="17" t="n">
        <x:v>8381.58</x:v>
      </x:c>
      <x:c r="N187" s="16" t="n">
        <x:v>53</x:v>
      </x:c>
      <x:c r="O187" s="16" t="n">
        <x:v>10</x:v>
      </x:c>
      <x:c r="P187" s="16" t="n">
        <x:v>3</x:v>
      </x:c>
      <x:c r="Q187" s="16" t="n">
        <x:v>32</x:v>
      </x:c>
      <x:c r="R187" s="16" t="n">
        <x:v>21</x:v>
      </x:c>
      <x:c r="S187" s="16" t="n">
        <x:v>5</x:v>
      </x:c>
      <x:c r="T187" s="15" t="n">
        <x:f>YEAR(A187)</x:f>
        <x:v>2024</x:v>
      </x:c>
      <x:c r="U187" s="15" t="n">
        <x:f>ROUNDUP(MONTH(A187)/3,0)</x:f>
        <x:v>2</x:v>
      </x:c>
      <x:c r="V187" s="18" t="n">
        <x:f>I187-J187</x:f>
        <x:v>47269.52999999999</x:v>
      </x:c>
      <x:c r="W187" s="19" t="n">
        <x:f>IF(I187=0,"",V187/I187)</x:f>
        <x:v>0.4229767893764927</x:v>
      </x:c>
      <x:c r="X187" s="18" t="n">
        <x:f>I187-J187-K187-L187-M187</x:f>
        <x:v>30059.34999999999</x:v>
      </x:c>
      <x:c r="Y187" s="19" t="n">
        <x:f>IF(I187=0,"",X187/I187)</x:f>
        <x:v>0.268976809241477</x:v>
      </x:c>
      <x:c r="Z187" s="18" t="n">
        <x:f>IF(E187=0,"",F187/E187)</x:f>
        <x:v>1165.7378217821783</x:v>
      </x:c>
      <x:c r="AA187" s="18" t="n">
        <x:f>IF(N187=0,"",M187/N187)</x:f>
        <x:v>158.14301886792452</x:v>
      </x:c>
      <x:c r="AB187" s="19" t="n">
        <x:f>IF(E187=0,"",O187/E187)</x:f>
        <x:v>0.09900990099009901</x:v>
      </x:c>
      <x:c r="AC187" s="19" t="n">
        <x:f>IF(E187=0,"",P187/E187)</x:f>
        <x:v>0.0297029702970297</x:v>
      </x:c>
      <x:c r="AD187" s="20" t="n">
        <x:f>IF(Q187=0,"",100*(R187-S187)/Q187)</x:f>
        <x:v>50</x:v>
      </x:c>
      <x:c r="AE187" s="19" t="n">
        <x:f>IF(F187=0,"",G187/F187)</x:f>
        <x:v>0.033333327671116714</x:v>
      </x:c>
      <x:c r="AF187" s="18" t="n">
        <x:f>ROUND(I187-(F187-G187-H187),2)</x:f>
        <x:v>0</x:v>
      </x:c>
    </x:row>
    <x:row r="188" ht="24" customHeight="1">
      <x:c r="A188" s="14" t="n">
        <x:v>45383</x:v>
      </x:c>
      <x:c r="B188" s="2" t="str">
        <x:v>E-commerce</x:v>
      </x:c>
      <x:c r="C188" s="2" t="str">
        <x:v>Sul</x:v>
      </x:c>
      <x:c r="D188" s="2" t="str">
        <x:v>M-0183</x:v>
      </x:c>
      <x:c r="E188" s="16" t="n">
        <x:v>96</x:v>
      </x:c>
      <x:c r="F188" s="17" t="n">
        <x:v>111572.57</x:v>
      </x:c>
      <x:c r="G188" s="17" t="n">
        <x:v>3719.09</x:v>
      </x:c>
      <x:c r="H188" s="17" t="n">
        <x:v>1952.52</x:v>
      </x:c>
      <x:c r="I188" s="17" t="n">
        <x:v>105900.96</x:v>
      </x:c>
      <x:c r="J188" s="17" t="n">
        <x:v>61194.31</x:v>
      </x:c>
      <x:c r="K188" s="17" t="n">
        <x:v>5824.55</x:v>
      </x:c>
      <x:c r="L188" s="17" t="n">
        <x:v>2541.62</x:v>
      </x:c>
      <x:c r="M188" s="17" t="n">
        <x:v>7942.57</x:v>
      </x:c>
      <x:c r="N188" s="16" t="n">
        <x:v>50</x:v>
      </x:c>
      <x:c r="O188" s="16" t="n">
        <x:v>10</x:v>
      </x:c>
      <x:c r="P188" s="16" t="n">
        <x:v>2</x:v>
      </x:c>
      <x:c r="Q188" s="16" t="n">
        <x:v>31</x:v>
      </x:c>
      <x:c r="R188" s="16" t="n">
        <x:v>20</x:v>
      </x:c>
      <x:c r="S188" s="16" t="n">
        <x:v>5</x:v>
      </x:c>
      <x:c r="T188" s="15" t="n">
        <x:f>YEAR(A188)</x:f>
        <x:v>2024</x:v>
      </x:c>
      <x:c r="U188" s="15" t="n">
        <x:f>ROUNDUP(MONTH(A188)/3,0)</x:f>
        <x:v>2</x:v>
      </x:c>
      <x:c r="V188" s="18" t="n">
        <x:f>I188-J188</x:f>
        <x:v>44706.65000000001</x:v>
      </x:c>
      <x:c r="W188" s="19" t="n">
        <x:f>IF(I188=0,"",V188/I188)</x:f>
        <x:v>0.42215528546672293</x:v>
      </x:c>
      <x:c r="X188" s="18" t="n">
        <x:f>I188-J188-K188-L188-M188</x:f>
        <x:v>28397.910000000003</x:v>
      </x:c>
      <x:c r="Y188" s="19" t="n">
        <x:f>IF(I188=0,"",X188/I188)</x:f>
        <x:v>0.26815535949815755</x:v>
      </x:c>
      <x:c r="Z188" s="18" t="n">
        <x:f>IF(E188=0,"",F188/E188)</x:f>
        <x:v>1162.2142708333333</x:v>
      </x:c>
      <x:c r="AA188" s="18" t="n">
        <x:f>IF(N188=0,"",M188/N188)</x:f>
        <x:v>158.85139999999998</x:v>
      </x:c>
      <x:c r="AB188" s="19" t="n">
        <x:f>IF(E188=0,"",O188/E188)</x:f>
        <x:v>0.10416666666666667</x:v>
      </x:c>
      <x:c r="AC188" s="19" t="n">
        <x:f>IF(E188=0,"",P188/E188)</x:f>
        <x:v>0.020833333333333332</x:v>
      </x:c>
      <x:c r="AD188" s="20" t="n">
        <x:f>IF(Q188=0,"",100*(R188-S188)/Q188)</x:f>
        <x:v>48.38709677419355</x:v>
      </x:c>
      <x:c r="AE188" s="19" t="n">
        <x:f>IF(F188=0,"",G188/F188)</x:f>
        <x:v>0.033333372172031174</x:v>
      </x:c>
      <x:c r="AF188" s="18" t="n">
        <x:f>ROUND(I188-(F188-G188-H188),2)</x:f>
        <x:v>0</x:v>
      </x:c>
    </x:row>
    <x:row r="189" ht="24" customHeight="1">
      <x:c r="A189" s="14" t="n">
        <x:v>45383</x:v>
      </x:c>
      <x:c r="B189" s="2" t="str">
        <x:v>E-commerce</x:v>
      </x:c>
      <x:c r="C189" s="2" t="str">
        <x:v>Centro-Oeste</x:v>
      </x:c>
      <x:c r="D189" s="2" t="str">
        <x:v>M-0184</x:v>
      </x:c>
      <x:c r="E189" s="16" t="n">
        <x:v>82</x:v>
      </x:c>
      <x:c r="F189" s="17" t="n">
        <x:v>95178.01</x:v>
      </x:c>
      <x:c r="G189" s="17" t="n">
        <x:v>3172.6</x:v>
      </x:c>
      <x:c r="H189" s="17" t="n">
        <x:v>1665.62</x:v>
      </x:c>
      <x:c r="I189" s="17" t="n">
        <x:v>90339.79</x:v>
      </x:c>
      <x:c r="J189" s="17" t="n">
        <x:v>50994.6</x:v>
      </x:c>
      <x:c r="K189" s="17" t="n">
        <x:v>4968.69</x:v>
      </x:c>
      <x:c r="L189" s="17" t="n">
        <x:v>2168.15</x:v>
      </x:c>
      <x:c r="M189" s="17" t="n">
        <x:v>6775.48</x:v>
      </x:c>
      <x:c r="N189" s="16" t="n">
        <x:v>43</x:v>
      </x:c>
      <x:c r="O189" s="16" t="n">
        <x:v>8</x:v>
      </x:c>
      <x:c r="P189" s="16" t="n">
        <x:v>2</x:v>
      </x:c>
      <x:c r="Q189" s="16" t="n">
        <x:v>26</x:v>
      </x:c>
      <x:c r="R189" s="16" t="n">
        <x:v>17</x:v>
      </x:c>
      <x:c r="S189" s="16" t="n">
        <x:v>4</x:v>
      </x:c>
      <x:c r="T189" s="15" t="n">
        <x:f>YEAR(A189)</x:f>
        <x:v>2024</x:v>
      </x:c>
      <x:c r="U189" s="15" t="n">
        <x:f>ROUNDUP(MONTH(A189)/3,0)</x:f>
        <x:v>2</x:v>
      </x:c>
      <x:c r="V189" s="18" t="n">
        <x:f>I189-J189</x:f>
        <x:v>39345.189999999995</x:v>
      </x:c>
      <x:c r="W189" s="19" t="n">
        <x:f>IF(I189=0,"",V189/I189)</x:f>
        <x:v>0.4355244793019775</x:v>
      </x:c>
      <x:c r="X189" s="18" t="n">
        <x:f>I189-J189-K189-L189-M189</x:f>
        <x:v>25432.86999999999</x:v>
      </x:c>
      <x:c r="Y189" s="19" t="n">
        <x:f>IF(I189=0,"",X189/I189)</x:f>
        <x:v>0.28152456409296495</x:v>
      </x:c>
      <x:c r="Z189" s="18" t="n">
        <x:f>IF(E189=0,"",F189/E189)</x:f>
        <x:v>1160.7074390243902</x:v>
      </x:c>
      <x:c r="AA189" s="18" t="n">
        <x:f>IF(N189=0,"",M189/N189)</x:f>
        <x:v>157.5693023255814</x:v>
      </x:c>
      <x:c r="AB189" s="19" t="n">
        <x:f>IF(E189=0,"",O189/E189)</x:f>
        <x:v>0.0975609756097561</x:v>
      </x:c>
      <x:c r="AC189" s="19" t="n">
        <x:f>IF(E189=0,"",P189/E189)</x:f>
        <x:v>0.024390243902439025</x:v>
      </x:c>
      <x:c r="AD189" s="20" t="n">
        <x:f>IF(Q189=0,"",100*(R189-S189)/Q189)</x:f>
        <x:v>50</x:v>
      </x:c>
      <x:c r="AE189" s="19" t="n">
        <x:f>IF(F189=0,"",G189/F189)</x:f>
        <x:v>0.03333332983112381</x:v>
      </x:c>
      <x:c r="AF189" s="18" t="n">
        <x:f>ROUND(I189-(F189-G189-H189),2)</x:f>
        <x:v>0</x:v>
      </x:c>
    </x:row>
    <x:row r="190" ht="24" customHeight="1">
      <x:c r="A190" s="14" t="n">
        <x:v>45383</x:v>
      </x:c>
      <x:c r="B190" s="2" t="str">
        <x:v>Lojas</x:v>
      </x:c>
      <x:c r="C190" s="2" t="str">
        <x:v>Sudeste</x:v>
      </x:c>
      <x:c r="D190" s="2" t="str">
        <x:v>M-0185</x:v>
      </x:c>
      <x:c r="E190" s="16" t="n">
        <x:v>158</x:v>
      </x:c>
      <x:c r="F190" s="17" t="n">
        <x:v>184180.35</x:v>
      </x:c>
      <x:c r="G190" s="17" t="n">
        <x:v>6139.34</x:v>
      </x:c>
      <x:c r="H190" s="17" t="n">
        <x:v>3223.16</x:v>
      </x:c>
      <x:c r="I190" s="17" t="n">
        <x:v>174817.85</x:v>
      </x:c>
      <x:c r="J190" s="17" t="n">
        <x:v>95336.64</x:v>
      </x:c>
      <x:c r="K190" s="17" t="n">
        <x:v>5943.81</x:v>
      </x:c>
      <x:c r="L190" s="17" t="n">
        <x:v>4195.63</x:v>
      </x:c>
      <x:c r="M190" s="17" t="n">
        <x:v>3146.72</x:v>
      </x:c>
      <x:c r="N190" s="16" t="n">
        <x:v>44</x:v>
      </x:c>
      <x:c r="O190" s="16" t="n">
        <x:v>16</x:v>
      </x:c>
      <x:c r="P190" s="16" t="n">
        <x:v>4</x:v>
      </x:c>
      <x:c r="Q190" s="16" t="n">
        <x:v>51</x:v>
      </x:c>
      <x:c r="R190" s="16" t="n">
        <x:v>33</x:v>
      </x:c>
      <x:c r="S190" s="16" t="n">
        <x:v>8</x:v>
      </x:c>
      <x:c r="T190" s="15" t="n">
        <x:f>YEAR(A190)</x:f>
        <x:v>2024</x:v>
      </x:c>
      <x:c r="U190" s="15" t="n">
        <x:f>ROUNDUP(MONTH(A190)/3,0)</x:f>
        <x:v>2</x:v>
      </x:c>
      <x:c r="V190" s="18" t="n">
        <x:f>I190-J190</x:f>
        <x:v>79481.21</x:v>
      </x:c>
      <x:c r="W190" s="19" t="n">
        <x:f>IF(I190=0,"",V190/I190)</x:f>
        <x:v>0.4546515701914879</x:v>
      </x:c>
      <x:c r="X190" s="18" t="n">
        <x:f>I190-J190-K190-L190-M190</x:f>
        <x:v>66195.05</x:v>
      </x:c>
      <x:c r="Y190" s="19" t="n">
        <x:f>IF(I190=0,"",X190/I190)</x:f>
        <x:v>0.37865155074267304</x:v>
      </x:c>
      <x:c r="Z190" s="18" t="n">
        <x:f>IF(E190=0,"",F190/E190)</x:f>
        <x:v>1165.698417721519</x:v>
      </x:c>
      <x:c r="AA190" s="18" t="n">
        <x:f>IF(N190=0,"",M190/N190)</x:f>
        <x:v>71.51636363636364</x:v>
      </x:c>
      <x:c r="AB190" s="19" t="n">
        <x:f>IF(E190=0,"",O190/E190)</x:f>
        <x:v>0.10126582278481013</x:v>
      </x:c>
      <x:c r="AC190" s="19" t="n">
        <x:f>IF(E190=0,"",P190/E190)</x:f>
        <x:v>0.02531645569620253</x:v>
      </x:c>
      <x:c r="AD190" s="20" t="n">
        <x:f>IF(Q190=0,"",100*(R190-S190)/Q190)</x:f>
        <x:v>49.01960784313726</x:v>
      </x:c>
      <x:c r="AE190" s="19" t="n">
        <x:f>IF(F190=0,"",G190/F190)</x:f>
        <x:v>0.033333306186029074</x:v>
      </x:c>
      <x:c r="AF190" s="18" t="n">
        <x:f>ROUND(I190-(F190-G190-H190),2)</x:f>
        <x:v>0</x:v>
      </x:c>
    </x:row>
    <x:row r="191" ht="24" customHeight="1">
      <x:c r="A191" s="14" t="n">
        <x:v>45383</x:v>
      </x:c>
      <x:c r="B191" s="2" t="str">
        <x:v>Lojas</x:v>
      </x:c>
      <x:c r="C191" s="2" t="str">
        <x:v>Nordeste</x:v>
      </x:c>
      <x:c r="D191" s="2" t="str">
        <x:v>M-0186</x:v>
      </x:c>
      <x:c r="E191" s="16" t="n">
        <x:v>98</x:v>
      </x:c>
      <x:c r="F191" s="17" t="n">
        <x:v>113947.16</x:v>
      </x:c>
      <x:c r="G191" s="17" t="n">
        <x:v>3798.24</x:v>
      </x:c>
      <x:c r="H191" s="17" t="n">
        <x:v>1994.08</x:v>
      </x:c>
      <x:c r="I191" s="17" t="n">
        <x:v>108154.84</x:v>
      </x:c>
      <x:c r="J191" s="17" t="n">
        <x:v>61376.74</x:v>
      </x:c>
      <x:c r="K191" s="17" t="n">
        <x:v>3677.26</x:v>
      </x:c>
      <x:c r="L191" s="17" t="n">
        <x:v>2595.72</x:v>
      </x:c>
      <x:c r="M191" s="17" t="n">
        <x:v>1946.79</x:v>
      </x:c>
      <x:c r="N191" s="16" t="n">
        <x:v>27</x:v>
      </x:c>
      <x:c r="O191" s="16" t="n">
        <x:v>10</x:v>
      </x:c>
      <x:c r="P191" s="16" t="n">
        <x:v>2</x:v>
      </x:c>
      <x:c r="Q191" s="16" t="n">
        <x:v>31</x:v>
      </x:c>
      <x:c r="R191" s="16" t="n">
        <x:v>20</x:v>
      </x:c>
      <x:c r="S191" s="16" t="n">
        <x:v>5</x:v>
      </x:c>
      <x:c r="T191" s="15" t="n">
        <x:f>YEAR(A191)</x:f>
        <x:v>2024</x:v>
      </x:c>
      <x:c r="U191" s="15" t="n">
        <x:f>ROUNDUP(MONTH(A191)/3,0)</x:f>
        <x:v>2</x:v>
      </x:c>
      <x:c r="V191" s="18" t="n">
        <x:f>I191-J191</x:f>
        <x:v>46778.1</x:v>
      </x:c>
      <x:c r="W191" s="19" t="n">
        <x:f>IF(I191=0,"",V191/I191)</x:f>
        <x:v>0.4325104637018556</x:v>
      </x:c>
      <x:c r="X191" s="18" t="n">
        <x:f>I191-J191-K191-L191-M191</x:f>
        <x:v>38558.329999999994</x:v>
      </x:c>
      <x:c r="Y191" s="19" t="n">
        <x:f>IF(I191=0,"",X191/I191)</x:f>
        <x:v>0.35651044373048857</x:v>
      </x:c>
      <x:c r="Z191" s="18" t="n">
        <x:f>IF(E191=0,"",F191/E191)</x:f>
        <x:v>1162.7261224489796</x:v>
      </x:c>
      <x:c r="AA191" s="18" t="n">
        <x:f>IF(N191=0,"",M191/N191)</x:f>
        <x:v>72.10333333333334</x:v>
      </x:c>
      <x:c r="AB191" s="19" t="n">
        <x:f>IF(E191=0,"",O191/E191)</x:f>
        <x:v>0.10204081632653061</x:v>
      </x:c>
      <x:c r="AC191" s="19" t="n">
        <x:f>IF(E191=0,"",P191/E191)</x:f>
        <x:v>0.02040816326530612</x:v>
      </x:c>
      <x:c r="AD191" s="20" t="n">
        <x:f>IF(Q191=0,"",100*(R191-S191)/Q191)</x:f>
        <x:v>48.38709677419355</x:v>
      </x:c>
      <x:c r="AE191" s="19" t="n">
        <x:f>IF(F191=0,"",G191/F191)</x:f>
        <x:v>0.03333334503466343</x:v>
      </x:c>
      <x:c r="AF191" s="18" t="n">
        <x:f>ROUND(I191-(F191-G191-H191),2)</x:f>
        <x:v>0</x:v>
      </x:c>
    </x:row>
    <x:row r="192" ht="24" customHeight="1">
      <x:c r="A192" s="14" t="n">
        <x:v>45383</x:v>
      </x:c>
      <x:c r="B192" s="2" t="str">
        <x:v>Lojas</x:v>
      </x:c>
      <x:c r="C192" s="2" t="str">
        <x:v>Sul</x:v>
      </x:c>
      <x:c r="D192" s="2" t="str">
        <x:v>M-0187</x:v>
      </x:c>
      <x:c r="E192" s="16" t="n">
        <x:v>80</x:v>
      </x:c>
      <x:c r="F192" s="17" t="n">
        <x:v>92921.3</x:v>
      </x:c>
      <x:c r="G192" s="17" t="n">
        <x:v>3097.38</x:v>
      </x:c>
      <x:c r="H192" s="17" t="n">
        <x:v>1626.12</x:v>
      </x:c>
      <x:c r="I192" s="17" t="n">
        <x:v>88197.8</x:v>
      </x:c>
      <x:c r="J192" s="17" t="n">
        <x:v>48810.65</x:v>
      </x:c>
      <x:c r="K192" s="17" t="n">
        <x:v>2998.73</x:v>
      </x:c>
      <x:c r="L192" s="17" t="n">
        <x:v>2116.75</x:v>
      </x:c>
      <x:c r="M192" s="17" t="n">
        <x:v>1587.56</x:v>
      </x:c>
      <x:c r="N192" s="16" t="n">
        <x:v>22</x:v>
      </x:c>
      <x:c r="O192" s="16" t="n">
        <x:v>8</x:v>
      </x:c>
      <x:c r="P192" s="16" t="n">
        <x:v>2</x:v>
      </x:c>
      <x:c r="Q192" s="16" t="n">
        <x:v>26</x:v>
      </x:c>
      <x:c r="R192" s="16" t="n">
        <x:v>17</x:v>
      </x:c>
      <x:c r="S192" s="16" t="n">
        <x:v>4</x:v>
      </x:c>
      <x:c r="T192" s="15" t="n">
        <x:f>YEAR(A192)</x:f>
        <x:v>2024</x:v>
      </x:c>
      <x:c r="U192" s="15" t="n">
        <x:f>ROUNDUP(MONTH(A192)/3,0)</x:f>
        <x:v>2</x:v>
      </x:c>
      <x:c r="V192" s="18" t="n">
        <x:f>I192-J192</x:f>
        <x:v>39387.15</x:v>
      </x:c>
      <x:c r="W192" s="19" t="n">
        <x:f>IF(I192=0,"",V192/I192)</x:f>
        <x:v>0.44657746565107065</x:v>
      </x:c>
      <x:c r="X192" s="18" t="n">
        <x:f>I192-J192-K192-L192-M192</x:f>
        <x:v>32684.109999999997</x:v>
      </x:c>
      <x:c r="Y192" s="19" t="n">
        <x:f>IF(I192=0,"",X192/I192)</x:f>
        <x:v>0.3705773840163813</x:v>
      </x:c>
      <x:c r="Z192" s="18" t="n">
        <x:f>IF(E192=0,"",F192/E192)</x:f>
        <x:v>1161.5162500000001</x:v>
      </x:c>
      <x:c r="AA192" s="18" t="n">
        <x:f>IF(N192=0,"",M192/N192)</x:f>
        <x:v>72.16181818181818</x:v>
      </x:c>
      <x:c r="AB192" s="19" t="n">
        <x:f>IF(E192=0,"",O192/E192)</x:f>
        <x:v>0.1</x:v>
      </x:c>
      <x:c r="AC192" s="19" t="n">
        <x:f>IF(E192=0,"",P192/E192)</x:f>
        <x:v>0.025</x:v>
      </x:c>
      <x:c r="AD192" s="20" t="n">
        <x:f>IF(Q192=0,"",100*(R192-S192)/Q192)</x:f>
        <x:v>50</x:v>
      </x:c>
      <x:c r="AE192" s="19" t="n">
        <x:f>IF(F192=0,"",G192/F192)</x:f>
        <x:v>0.03333336920598399</x:v>
      </x:c>
      <x:c r="AF192" s="18" t="n">
        <x:f>ROUND(I192-(F192-G192-H192),2)</x:f>
        <x:v>0</x:v>
      </x:c>
    </x:row>
    <x:row r="193" ht="24" customHeight="1">
      <x:c r="A193" s="14" t="n">
        <x:v>45383</x:v>
      </x:c>
      <x:c r="B193" s="2" t="str">
        <x:v>Lojas</x:v>
      </x:c>
      <x:c r="C193" s="2" t="str">
        <x:v>Centro-Oeste</x:v>
      </x:c>
      <x:c r="D193" s="2" t="str">
        <x:v>M-0188</x:v>
      </x:c>
      <x:c r="E193" s="16" t="n">
        <x:v>57</x:v>
      </x:c>
      <x:c r="F193" s="17" t="n">
        <x:v>65992.5</x:v>
      </x:c>
      <x:c r="G193" s="17" t="n">
        <x:v>2199.75</x:v>
      </x:c>
      <x:c r="H193" s="17" t="n">
        <x:v>1154.87</x:v>
      </x:c>
      <x:c r="I193" s="17" t="n">
        <x:v>62637.88</x:v>
      </x:c>
      <x:c r="J193" s="17" t="n">
        <x:v>35187.95</x:v>
      </x:c>
      <x:c r="K193" s="17" t="n">
        <x:v>2129.69</x:v>
      </x:c>
      <x:c r="L193" s="17" t="n">
        <x:v>1503.31</x:v>
      </x:c>
      <x:c r="M193" s="17" t="n">
        <x:v>1127.48</x:v>
      </x:c>
      <x:c r="N193" s="16" t="n">
        <x:v>16</x:v>
      </x:c>
      <x:c r="O193" s="16" t="n">
        <x:v>6</x:v>
      </x:c>
      <x:c r="P193" s="16" t="n">
        <x:v>1</x:v>
      </x:c>
      <x:c r="Q193" s="16" t="n">
        <x:v>18</x:v>
      </x:c>
      <x:c r="R193" s="16" t="n">
        <x:v>12</x:v>
      </x:c>
      <x:c r="S193" s="16" t="n">
        <x:v>3</x:v>
      </x:c>
      <x:c r="T193" s="15" t="n">
        <x:f>YEAR(A193)</x:f>
        <x:v>2024</x:v>
      </x:c>
      <x:c r="U193" s="15" t="n">
        <x:f>ROUNDUP(MONTH(A193)/3,0)</x:f>
        <x:v>2</x:v>
      </x:c>
      <x:c r="V193" s="18" t="n">
        <x:f>I193-J193</x:f>
        <x:v>27449.93</x:v>
      </x:c>
      <x:c r="W193" s="19" t="n">
        <x:f>IF(I193=0,"",V193/I193)</x:f>
        <x:v>0.43823210491798253</x:v>
      </x:c>
      <x:c r="X193" s="18" t="n">
        <x:f>I193-J193-K193-L193-M193</x:f>
        <x:v>22689.45</x:v>
      </x:c>
      <x:c r="Y193" s="19" t="n">
        <x:f>IF(I193=0,"",X193/I193)</x:f>
        <x:v>0.3622320870374285</x:v>
      </x:c>
      <x:c r="Z193" s="18" t="n">
        <x:f>IF(E193=0,"",F193/E193)</x:f>
        <x:v>1157.7631578947369</x:v>
      </x:c>
      <x:c r="AA193" s="18" t="n">
        <x:f>IF(N193=0,"",M193/N193)</x:f>
        <x:v>70.4675</x:v>
      </x:c>
      <x:c r="AB193" s="19" t="n">
        <x:f>IF(E193=0,"",O193/E193)</x:f>
        <x:v>0.10526315789473684</x:v>
      </x:c>
      <x:c r="AC193" s="19" t="n">
        <x:f>IF(E193=0,"",P193/E193)</x:f>
        <x:v>0.017543859649122806</x:v>
      </x:c>
      <x:c r="AD193" s="20" t="n">
        <x:f>IF(Q193=0,"",100*(R193-S193)/Q193)</x:f>
        <x:v>50</x:v>
      </x:c>
      <x:c r="AE193" s="19" t="n">
        <x:f>IF(F193=0,"",G193/F193)</x:f>
        <x:v>0.03333333333333333</x:v>
      </x:c>
      <x:c r="AF193" s="18" t="n">
        <x:f>ROUND(I193-(F193-G193-H193),2)</x:f>
        <x:v>0</x:v>
      </x:c>
    </x:row>
    <x:row r="194" ht="24" customHeight="1">
      <x:c r="A194" s="14" t="n">
        <x:v>45383</x:v>
      </x:c>
      <x:c r="B194" s="2" t="str">
        <x:v>B2B</x:v>
      </x:c>
      <x:c r="C194" s="2" t="str">
        <x:v>Sudeste</x:v>
      </x:c>
      <x:c r="D194" s="2" t="str">
        <x:v>M-0189</x:v>
      </x:c>
      <x:c r="E194" s="16" t="n">
        <x:v>89</x:v>
      </x:c>
      <x:c r="F194" s="17" t="n">
        <x:v>103863.2</x:v>
      </x:c>
      <x:c r="G194" s="17" t="n">
        <x:v>3462.11</x:v>
      </x:c>
      <x:c r="H194" s="17" t="n">
        <x:v>1817.61</x:v>
      </x:c>
      <x:c r="I194" s="17" t="n">
        <x:v>98583.48</x:v>
      </x:c>
      <x:c r="J194" s="17" t="n">
        <x:v>56068.67</x:v>
      </x:c>
      <x:c r="K194" s="17" t="n">
        <x:v>3351.84</x:v>
      </x:c>
      <x:c r="L194" s="17" t="n">
        <x:v>2366</x:v>
      </x:c>
      <x:c r="M194" s="17" t="n">
        <x:v>1774.5</x:v>
      </x:c>
      <x:c r="N194" s="16" t="n">
        <x:v>25</x:v>
      </x:c>
      <x:c r="O194" s="16" t="n">
        <x:v>9</x:v>
      </x:c>
      <x:c r="P194" s="16" t="n">
        <x:v>2</x:v>
      </x:c>
      <x:c r="Q194" s="16" t="n">
        <x:v>28</x:v>
      </x:c>
      <x:c r="R194" s="16" t="n">
        <x:v>18</x:v>
      </x:c>
      <x:c r="S194" s="16" t="n">
        <x:v>4</x:v>
      </x:c>
      <x:c r="T194" s="15" t="n">
        <x:f>YEAR(A194)</x:f>
        <x:v>2024</x:v>
      </x:c>
      <x:c r="U194" s="15" t="n">
        <x:f>ROUNDUP(MONTH(A194)/3,0)</x:f>
        <x:v>2</x:v>
      </x:c>
      <x:c r="V194" s="18" t="n">
        <x:f>I194-J194</x:f>
        <x:v>42514.81</x:v>
      </x:c>
      <x:c r="W194" s="19" t="n">
        <x:f>IF(I194=0,"",V194/I194)</x:f>
        <x:v>0.4312569408180762</x:v>
      </x:c>
      <x:c r="X194" s="18" t="n">
        <x:f>I194-J194-K194-L194-M194</x:f>
        <x:v>35022.47</x:v>
      </x:c>
      <x:c r="Y194" s="19" t="n">
        <x:f>IF(I194=0,"",X194/I194)</x:f>
        <x:v>0.35525698626179564</x:v>
      </x:c>
      <x:c r="Z194" s="18" t="n">
        <x:f>IF(E194=0,"",F194/E194)</x:f>
        <x:v>1167.0022471910113</x:v>
      </x:c>
      <x:c r="AA194" s="18" t="n">
        <x:f>IF(N194=0,"",M194/N194)</x:f>
        <x:v>70.98</x:v>
      </x:c>
      <x:c r="AB194" s="19" t="n">
        <x:f>IF(E194=0,"",O194/E194)</x:f>
        <x:v>0.10112359550561797</x:v>
      </x:c>
      <x:c r="AC194" s="19" t="n">
        <x:f>IF(E194=0,"",P194/E194)</x:f>
        <x:v>0.02247191011235955</x:v>
      </x:c>
      <x:c r="AD194" s="20" t="n">
        <x:f>IF(Q194=0,"",100*(R194-S194)/Q194)</x:f>
        <x:v>50</x:v>
      </x:c>
      <x:c r="AE194" s="19" t="n">
        <x:f>IF(F194=0,"",G194/F194)</x:f>
        <x:v>0.03333336542683068</x:v>
      </x:c>
      <x:c r="AF194" s="18" t="n">
        <x:f>ROUND(I194-(F194-G194-H194),2)</x:f>
        <x:v>0</x:v>
      </x:c>
    </x:row>
    <x:row r="195" ht="24" customHeight="1">
      <x:c r="A195" s="14" t="n">
        <x:v>45383</x:v>
      </x:c>
      <x:c r="B195" s="2" t="str">
        <x:v>B2B</x:v>
      </x:c>
      <x:c r="C195" s="2" t="str">
        <x:v>Nordeste</x:v>
      </x:c>
      <x:c r="D195" s="2" t="str">
        <x:v>M-0190</x:v>
      </x:c>
      <x:c r="E195" s="16" t="n">
        <x:v>59</x:v>
      </x:c>
      <x:c r="F195" s="17" t="n">
        <x:v>68172.65</x:v>
      </x:c>
      <x:c r="G195" s="17" t="n">
        <x:v>2272.42</x:v>
      </x:c>
      <x:c r="H195" s="17" t="n">
        <x:v>1193.02</x:v>
      </x:c>
      <x:c r="I195" s="17" t="n">
        <x:v>64707.21</x:v>
      </x:c>
      <x:c r="J195" s="17" t="n">
        <x:v>37561.88</x:v>
      </x:c>
      <x:c r="K195" s="17" t="n">
        <x:v>2200.05</x:v>
      </x:c>
      <x:c r="L195" s="17" t="n">
        <x:v>1552.97</x:v>
      </x:c>
      <x:c r="M195" s="17" t="n">
        <x:v>1164.73</x:v>
      </x:c>
      <x:c r="N195" s="16" t="n">
        <x:v>17</x:v>
      </x:c>
      <x:c r="O195" s="16" t="n">
        <x:v>6</x:v>
      </x:c>
      <x:c r="P195" s="16" t="n">
        <x:v>2</x:v>
      </x:c>
      <x:c r="Q195" s="16" t="n">
        <x:v>19</x:v>
      </x:c>
      <x:c r="R195" s="16" t="n">
        <x:v>12</x:v>
      </x:c>
      <x:c r="S195" s="16" t="n">
        <x:v>3</x:v>
      </x:c>
      <x:c r="T195" s="15" t="n">
        <x:f>YEAR(A195)</x:f>
        <x:v>2024</x:v>
      </x:c>
      <x:c r="U195" s="15" t="n">
        <x:f>ROUNDUP(MONTH(A195)/3,0)</x:f>
        <x:v>2</x:v>
      </x:c>
      <x:c r="V195" s="18" t="n">
        <x:f>I195-J195</x:f>
        <x:v>27145.33</x:v>
      </x:c>
      <x:c r="W195" s="19" t="n">
        <x:f>IF(I195=0,"",V195/I195)</x:f>
        <x:v>0.41951012877853955</x:v>
      </x:c>
      <x:c r="X195" s="18" t="n">
        <x:f>I195-J195-K195-L195-M195</x:f>
        <x:v>22227.58</x:v>
      </x:c>
      <x:c r="Y195" s="19" t="n">
        <x:f>IF(I195=0,"",X195/I195)</x:f>
        <x:v>0.34351009725191367</x:v>
      </x:c>
      <x:c r="Z195" s="18" t="n">
        <x:f>IF(E195=0,"",F195/E195)</x:f>
        <x:v>1155.4686440677965</x:v>
      </x:c>
      <x:c r="AA195" s="18" t="n">
        <x:f>IF(N195=0,"",M195/N195)</x:f>
        <x:v>68.51352941176471</x:v>
      </x:c>
      <x:c r="AB195" s="19" t="n">
        <x:f>IF(E195=0,"",O195/E195)</x:f>
        <x:v>0.1016949152542373</x:v>
      </x:c>
      <x:c r="AC195" s="19" t="n">
        <x:f>IF(E195=0,"",P195/E195)</x:f>
        <x:v>0.03389830508474576</x:v>
      </x:c>
      <x:c r="AD195" s="20" t="n">
        <x:f>IF(Q195=0,"",100*(R195-S195)/Q195)</x:f>
        <x:v>47.36842105263158</x:v>
      </x:c>
      <x:c r="AE195" s="19" t="n">
        <x:f>IF(F195=0,"",G195/F195)</x:f>
        <x:v>0.03333330888560149</x:v>
      </x:c>
      <x:c r="AF195" s="18" t="n">
        <x:f>ROUND(I195-(F195-G195-H195),2)</x:f>
        <x:v>0</x:v>
      </x:c>
    </x:row>
    <x:row r="196" ht="24" customHeight="1">
      <x:c r="A196" s="14" t="n">
        <x:v>45383</x:v>
      </x:c>
      <x:c r="B196" s="2" t="str">
        <x:v>B2B</x:v>
      </x:c>
      <x:c r="C196" s="2" t="str">
        <x:v>Sul</x:v>
      </x:c>
      <x:c r="D196" s="2" t="str">
        <x:v>M-0191</x:v>
      </x:c>
      <x:c r="E196" s="16" t="n">
        <x:v>43</x:v>
      </x:c>
      <x:c r="F196" s="17" t="n">
        <x:v>49843.36</x:v>
      </x:c>
      <x:c r="G196" s="17" t="n">
        <x:v>1661.45</x:v>
      </x:c>
      <x:c r="H196" s="17" t="n">
        <x:v>872.26</x:v>
      </x:c>
      <x:c r="I196" s="17" t="n">
        <x:v>47309.65</x:v>
      </x:c>
      <x:c r="J196" s="17" t="n">
        <x:v>26280.6</x:v>
      </x:c>
      <x:c r="K196" s="17" t="n">
        <x:v>1608.53</x:v>
      </x:c>
      <x:c r="L196" s="17" t="n">
        <x:v>1135.43</x:v>
      </x:c>
      <x:c r="M196" s="17" t="n">
        <x:v>851.57</x:v>
      </x:c>
      <x:c r="N196" s="16" t="n">
        <x:v>12</x:v>
      </x:c>
      <x:c r="O196" s="16" t="n">
        <x:v>4</x:v>
      </x:c>
      <x:c r="P196" s="16" t="n">
        <x:v>1</x:v>
      </x:c>
      <x:c r="Q196" s="16" t="n">
        <x:v>14</x:v>
      </x:c>
      <x:c r="R196" s="16" t="n">
        <x:v>9</x:v>
      </x:c>
      <x:c r="S196" s="16" t="n">
        <x:v>2</x:v>
      </x:c>
      <x:c r="T196" s="15" t="n">
        <x:f>YEAR(A196)</x:f>
        <x:v>2024</x:v>
      </x:c>
      <x:c r="U196" s="15" t="n">
        <x:f>ROUNDUP(MONTH(A196)/3,0)</x:f>
        <x:v>2</x:v>
      </x:c>
      <x:c r="V196" s="18" t="n">
        <x:f>I196-J196</x:f>
        <x:v>21029.050000000003</x:v>
      </x:c>
      <x:c r="W196" s="19" t="n">
        <x:f>IF(I196=0,"",V196/I196)</x:f>
        <x:v>0.44449810979366794</x:v>
      </x:c>
      <x:c r="X196" s="18" t="n">
        <x:f>I196-J196-K196-L196-M196</x:f>
        <x:v>17433.520000000004</x:v>
      </x:c>
      <x:c r="Y196" s="19" t="n">
        <x:f>IF(I196=0,"",X196/I196)</x:f>
        <x:v>0.36849818166061266</x:v>
      </x:c>
      <x:c r="Z196" s="18" t="n">
        <x:f>IF(E196=0,"",F196/E196)</x:f>
        <x:v>1159.1479069767443</x:v>
      </x:c>
      <x:c r="AA196" s="18" t="n">
        <x:f>IF(N196=0,"",M196/N196)</x:f>
        <x:v>70.96416666666667</x:v>
      </x:c>
      <x:c r="AB196" s="19" t="n">
        <x:f>IF(E196=0,"",O196/E196)</x:f>
        <x:v>0.09302325581395349</x:v>
      </x:c>
      <x:c r="AC196" s="19" t="n">
        <x:f>IF(E196=0,"",P196/E196)</x:f>
        <x:v>0.023255813953488372</x:v>
      </x:c>
      <x:c r="AD196" s="20" t="n">
        <x:f>IF(Q196=0,"",100*(R196-S196)/Q196)</x:f>
        <x:v>50</x:v>
      </x:c>
      <x:c r="AE196" s="19" t="n">
        <x:f>IF(F196=0,"",G196/F196)</x:f>
        <x:v>0.03333342695998023</x:v>
      </x:c>
      <x:c r="AF196" s="18" t="n">
        <x:f>ROUND(I196-(F196-G196-H196),2)</x:f>
        <x:v>0</x:v>
      </x:c>
    </x:row>
    <x:row r="197" ht="24" customHeight="1">
      <x:c r="A197" s="14" t="n">
        <x:v>45383</x:v>
      </x:c>
      <x:c r="B197" s="2" t="str">
        <x:v>B2B</x:v>
      </x:c>
      <x:c r="C197" s="2" t="str">
        <x:v>Centro-Oeste</x:v>
      </x:c>
      <x:c r="D197" s="2" t="str">
        <x:v>M-0192</x:v>
      </x:c>
      <x:c r="E197" s="16" t="n">
        <x:v>42</x:v>
      </x:c>
      <x:c r="F197" s="17" t="n">
        <x:v>48357.39</x:v>
      </x:c>
      <x:c r="G197" s="17" t="n">
        <x:v>1611.91</x:v>
      </x:c>
      <x:c r="H197" s="17" t="n">
        <x:v>846.25</x:v>
      </x:c>
      <x:c r="I197" s="17" t="n">
        <x:v>45899.23</x:v>
      </x:c>
      <x:c r="J197" s="17" t="n">
        <x:v>24890.1</x:v>
      </x:c>
      <x:c r="K197" s="17" t="n">
        <x:v>1560.57</x:v>
      </x:c>
      <x:c r="L197" s="17" t="n">
        <x:v>1101.58</x:v>
      </x:c>
      <x:c r="M197" s="17" t="n">
        <x:v>826.19</x:v>
      </x:c>
      <x:c r="N197" s="16" t="n">
        <x:v>12</x:v>
      </x:c>
      <x:c r="O197" s="16" t="n">
        <x:v>4</x:v>
      </x:c>
      <x:c r="P197" s="16" t="n">
        <x:v>1</x:v>
      </x:c>
      <x:c r="Q197" s="16" t="n">
        <x:v>13</x:v>
      </x:c>
      <x:c r="R197" s="16" t="n">
        <x:v>8</x:v>
      </x:c>
      <x:c r="S197" s="16" t="n">
        <x:v>2</x:v>
      </x:c>
      <x:c r="T197" s="15" t="n">
        <x:f>YEAR(A197)</x:f>
        <x:v>2024</x:v>
      </x:c>
      <x:c r="U197" s="15" t="n">
        <x:f>ROUNDUP(MONTH(A197)/3,0)</x:f>
        <x:v>2</x:v>
      </x:c>
      <x:c r="V197" s="18" t="n">
        <x:f>I197-J197</x:f>
        <x:v>21009.130000000005</x:v>
      </x:c>
      <x:c r="W197" s="19" t="n">
        <x:f>IF(I197=0,"",V197/I197)</x:f>
        <x:v>0.45772292912103324</x:v>
      </x:c>
      <x:c r="X197" s="18" t="n">
        <x:f>I197-J197-K197-L197-M197</x:f>
        <x:v>17520.790000000005</x:v>
      </x:c>
      <x:c r="Y197" s="19" t="n">
        <x:f>IF(I197=0,"",X197/I197)</x:f>
        <x:v>0.38172296136558287</x:v>
      </x:c>
      <x:c r="Z197" s="18" t="n">
        <x:f>IF(E197=0,"",F197/E197)</x:f>
        <x:v>1151.3664285714285</x:v>
      </x:c>
      <x:c r="AA197" s="18" t="n">
        <x:f>IF(N197=0,"",M197/N197)</x:f>
        <x:v>68.84916666666668</x:v>
      </x:c>
      <x:c r="AB197" s="19" t="n">
        <x:f>IF(E197=0,"",O197/E197)</x:f>
        <x:v>0.09523809523809523</x:v>
      </x:c>
      <x:c r="AC197" s="19" t="n">
        <x:f>IF(E197=0,"",P197/E197)</x:f>
        <x:v>0.023809523809523808</x:v>
      </x:c>
      <x:c r="AD197" s="20" t="n">
        <x:f>IF(Q197=0,"",100*(R197-S197)/Q197)</x:f>
        <x:v>46.15384615384615</x:v>
      </x:c>
      <x:c r="AE197" s="19" t="n">
        <x:f>IF(F197=0,"",G197/F197)</x:f>
        <x:v>0.03333327129524567</x:v>
      </x:c>
      <x:c r="AF197" s="18" t="n">
        <x:f>ROUND(I197-(F197-G197-H197),2)</x:f>
        <x:v>0</x:v>
      </x:c>
    </x:row>
    <x:row r="198" ht="24" customHeight="1">
      <x:c r="A198" s="14" t="n">
        <x:v>45413</x:v>
      </x:c>
      <x:c r="B198" s="2" t="str">
        <x:v>E-commerce</x:v>
      </x:c>
      <x:c r="C198" s="2" t="str">
        <x:v>Sudeste</x:v>
      </x:c>
      <x:c r="D198" s="2" t="str">
        <x:v>M-0193</x:v>
      </x:c>
      <x:c r="E198" s="16" t="n">
        <x:v>166</x:v>
      </x:c>
      <x:c r="F198" s="17" t="n">
        <x:v>192515.08</x:v>
      </x:c>
      <x:c r="G198" s="17" t="n">
        <x:v>6524.12</x:v>
      </x:c>
      <x:c r="H198" s="17" t="n">
        <x:v>3465.27</x:v>
      </x:c>
      <x:c r="I198" s="17" t="n">
        <x:v>182525.69</x:v>
      </x:c>
      <x:c r="J198" s="17" t="n">
        <x:v>101450.45</x:v>
      </x:c>
      <x:c r="K198" s="17" t="n">
        <x:v>10221.44</x:v>
      </x:c>
      <x:c r="L198" s="17" t="n">
        <x:v>4380.62</x:v>
      </x:c>
      <x:c r="M198" s="17" t="n">
        <x:v>13689.43</x:v>
      </x:c>
      <x:c r="N198" s="16" t="n">
        <x:v>86</x:v>
      </x:c>
      <x:c r="O198" s="16" t="n">
        <x:v>17</x:v>
      </x:c>
      <x:c r="P198" s="16" t="n">
        <x:v>4</x:v>
      </x:c>
      <x:c r="Q198" s="16" t="n">
        <x:v>53</x:v>
      </x:c>
      <x:c r="R198" s="16" t="n">
        <x:v>34</x:v>
      </x:c>
      <x:c r="S198" s="16" t="n">
        <x:v>9</x:v>
      </x:c>
      <x:c r="T198" s="15" t="n">
        <x:f>YEAR(A198)</x:f>
        <x:v>2024</x:v>
      </x:c>
      <x:c r="U198" s="15" t="n">
        <x:f>ROUNDUP(MONTH(A198)/3,0)</x:f>
        <x:v>2</x:v>
      </x:c>
      <x:c r="V198" s="18" t="n">
        <x:f>I198-J198</x:f>
        <x:v>81075.24</x:v>
      </x:c>
      <x:c r="W198" s="19" t="n">
        <x:f>IF(I198=0,"",V198/I198)</x:f>
        <x:v>0.44418536371510225</x:v>
      </x:c>
      <x:c r="X198" s="18" t="n">
        <x:f>I198-J198-K198-L198-M198</x:f>
        <x:v>52783.75000000001</x:v>
      </x:c>
      <x:c r="Y198" s="19" t="n">
        <x:f>IF(I198=0,"",X198/I198)</x:f>
        <x:v>0.28918531961172156</x:v>
      </x:c>
      <x:c r="Z198" s="18" t="n">
        <x:f>IF(E198=0,"",F198/E198)</x:f>
        <x:v>1159.7293975903613</x:v>
      </x:c>
      <x:c r="AA198" s="18" t="n">
        <x:f>IF(N198=0,"",M198/N198)</x:f>
        <x:v>159.17941860465118</x:v>
      </x:c>
      <x:c r="AB198" s="19" t="n">
        <x:f>IF(E198=0,"",O198/E198)</x:f>
        <x:v>0.10240963855421686</x:v>
      </x:c>
      <x:c r="AC198" s="19" t="n">
        <x:f>IF(E198=0,"",P198/E198)</x:f>
        <x:v>0.024096385542168676</x:v>
      </x:c>
      <x:c r="AD198" s="20" t="n">
        <x:f>IF(Q198=0,"",100*(R198-S198)/Q198)</x:f>
        <x:v>47.16981132075472</x:v>
      </x:c>
      <x:c r="AE198" s="19" t="n">
        <x:f>IF(F198=0,"",G198/F198)</x:f>
        <x:v>0.033888877692074826</x:v>
      </x:c>
      <x:c r="AF198" s="18" t="n">
        <x:f>ROUND(I198-(F198-G198-H198),2)</x:f>
        <x:v>0</x:v>
      </x:c>
    </x:row>
    <x:row r="199" ht="24" customHeight="1">
      <x:c r="A199" s="14" t="n">
        <x:v>45413</x:v>
      </x:c>
      <x:c r="B199" s="2" t="str">
        <x:v>E-commerce</x:v>
      </x:c>
      <x:c r="C199" s="2" t="str">
        <x:v>Nordeste</x:v>
      </x:c>
      <x:c r="D199" s="2" t="str">
        <x:v>M-0194</x:v>
      </x:c>
      <x:c r="E199" s="16" t="n">
        <x:v>127</x:v>
      </x:c>
      <x:c r="F199" s="17" t="n">
        <x:v>147963.33</x:v>
      </x:c>
      <x:c r="G199" s="17" t="n">
        <x:v>5014.31</x:v>
      </x:c>
      <x:c r="H199" s="17" t="n">
        <x:v>2663.34</x:v>
      </x:c>
      <x:c r="I199" s="17" t="n">
        <x:v>140285.68</x:v>
      </x:c>
      <x:c r="J199" s="17" t="n">
        <x:v>82145.79</x:v>
      </x:c>
      <x:c r="K199" s="17" t="n">
        <x:v>7856</x:v>
      </x:c>
      <x:c r="L199" s="17" t="n">
        <x:v>3366.86</x:v>
      </x:c>
      <x:c r="M199" s="17" t="n">
        <x:v>10521.43</x:v>
      </x:c>
      <x:c r="N199" s="16" t="n">
        <x:v>66</x:v>
      </x:c>
      <x:c r="O199" s="16" t="n">
        <x:v>13</x:v>
      </x:c>
      <x:c r="P199" s="16" t="n">
        <x:v>3</x:v>
      </x:c>
      <x:c r="Q199" s="16" t="n">
        <x:v>41</x:v>
      </x:c>
      <x:c r="R199" s="16" t="n">
        <x:v>26</x:v>
      </x:c>
      <x:c r="S199" s="16" t="n">
        <x:v>7</x:v>
      </x:c>
      <x:c r="T199" s="15" t="n">
        <x:f>YEAR(A199)</x:f>
        <x:v>2024</x:v>
      </x:c>
      <x:c r="U199" s="15" t="n">
        <x:f>ROUNDUP(MONTH(A199)/3,0)</x:f>
        <x:v>2</x:v>
      </x:c>
      <x:c r="V199" s="18" t="n">
        <x:f>I199-J199</x:f>
        <x:v>58139.89</x:v>
      </x:c>
      <x:c r="W199" s="19" t="n">
        <x:f>IF(I199=0,"",V199/I199)</x:f>
        <x:v>0.41443923570816354</x:v>
      </x:c>
      <x:c r="X199" s="18" t="n">
        <x:f>I199-J199-K199-L199-M199</x:f>
        <x:v>36395.6</x:v>
      </x:c>
      <x:c r="Y199" s="19" t="n">
        <x:f>IF(I199=0,"",X199/I199)</x:f>
        <x:v>0.2594391672763749</x:v>
      </x:c>
      <x:c r="Z199" s="18" t="n">
        <x:f>IF(E199=0,"",F199/E199)</x:f>
        <x:v>1165.065590551181</x:v>
      </x:c>
      <x:c r="AA199" s="18" t="n">
        <x:f>IF(N199=0,"",M199/N199)</x:f>
        <x:v>159.41560606060605</x:v>
      </x:c>
      <x:c r="AB199" s="19" t="n">
        <x:f>IF(E199=0,"",O199/E199)</x:f>
        <x:v>0.10236220472440945</x:v>
      </x:c>
      <x:c r="AC199" s="19" t="n">
        <x:f>IF(E199=0,"",P199/E199)</x:f>
        <x:v>0.023622047244094488</x:v>
      </x:c>
      <x:c r="AD199" s="20" t="n">
        <x:f>IF(Q199=0,"",100*(R199-S199)/Q199)</x:f>
        <x:v>46.34146341463415</x:v>
      </x:c>
      <x:c r="AE199" s="19" t="n">
        <x:f>IF(F199=0,"",G199/F199)</x:f>
        <x:v>0.0338888696273597</x:v>
      </x:c>
      <x:c r="AF199" s="18" t="n">
        <x:f>ROUND(I199-(F199-G199-H199),2)</x:f>
        <x:v>0</x:v>
      </x:c>
    </x:row>
    <x:row r="200" ht="24" customHeight="1">
      <x:c r="A200" s="14" t="n">
        <x:v>45413</x:v>
      </x:c>
      <x:c r="B200" s="2" t="str">
        <x:v>E-commerce</x:v>
      </x:c>
      <x:c r="C200" s="2" t="str">
        <x:v>Sul</x:v>
      </x:c>
      <x:c r="D200" s="2" t="str">
        <x:v>M-0195</x:v>
      </x:c>
      <x:c r="E200" s="16" t="n">
        <x:v>98</x:v>
      </x:c>
      <x:c r="F200" s="17" t="n">
        <x:v>113394.22</x:v>
      </x:c>
      <x:c r="G200" s="17" t="n">
        <x:v>3842.8</x:v>
      </x:c>
      <x:c r="H200" s="17" t="n">
        <x:v>2041.1</x:v>
      </x:c>
      <x:c r="I200" s="17" t="n">
        <x:v>107510.32</x:v>
      </x:c>
      <x:c r="J200" s="17" t="n">
        <x:v>63187.22</x:v>
      </x:c>
      <x:c r="K200" s="17" t="n">
        <x:v>6020.58</x:v>
      </x:c>
      <x:c r="L200" s="17" t="n">
        <x:v>2580.25</x:v>
      </x:c>
      <x:c r="M200" s="17" t="n">
        <x:v>8063.27</x:v>
      </x:c>
      <x:c r="N200" s="16" t="n">
        <x:v>51</x:v>
      </x:c>
      <x:c r="O200" s="16" t="n">
        <x:v>10</x:v>
      </x:c>
      <x:c r="P200" s="16" t="n">
        <x:v>3</x:v>
      </x:c>
      <x:c r="Q200" s="16" t="n">
        <x:v>31</x:v>
      </x:c>
      <x:c r="R200" s="16" t="n">
        <x:v>20</x:v>
      </x:c>
      <x:c r="S200" s="16" t="n">
        <x:v>5</x:v>
      </x:c>
      <x:c r="T200" s="15" t="n">
        <x:f>YEAR(A200)</x:f>
        <x:v>2024</x:v>
      </x:c>
      <x:c r="U200" s="15" t="n">
        <x:f>ROUNDUP(MONTH(A200)/3,0)</x:f>
        <x:v>2</x:v>
      </x:c>
      <x:c r="V200" s="18" t="n">
        <x:f>I200-J200</x:f>
        <x:v>44323.100000000006</x:v>
      </x:c>
      <x:c r="W200" s="19" t="n">
        <x:f>IF(I200=0,"",V200/I200)</x:f>
        <x:v>0.41226832921713935</x:v>
      </x:c>
      <x:c r="X200" s="18" t="n">
        <x:f>I200-J200-K200-L200-M200</x:f>
        <x:v>27659.000000000004</x:v>
      </x:c>
      <x:c r="Y200" s="19" t="n">
        <x:f>IF(I200=0,"",X200/I200)</x:f>
        <x:v>0.2572683254965663</x:v>
      </x:c>
      <x:c r="Z200" s="18" t="n">
        <x:f>IF(E200=0,"",F200/E200)</x:f>
        <x:v>1157.0838775510204</x:v>
      </x:c>
      <x:c r="AA200" s="18" t="n">
        <x:f>IF(N200=0,"",M200/N200)</x:f>
        <x:v>158.10333333333335</x:v>
      </x:c>
      <x:c r="AB200" s="19" t="n">
        <x:f>IF(E200=0,"",O200/E200)</x:f>
        <x:v>0.10204081632653061</x:v>
      </x:c>
      <x:c r="AC200" s="19" t="n">
        <x:f>IF(E200=0,"",P200/E200)</x:f>
        <x:v>0.030612244897959183</x:v>
      </x:c>
      <x:c r="AD200" s="20" t="n">
        <x:f>IF(Q200=0,"",100*(R200-S200)/Q200)</x:f>
        <x:v>48.38709677419355</x:v>
      </x:c>
      <x:c r="AE200" s="19" t="n">
        <x:f>IF(F200=0,"",G200/F200)</x:f>
        <x:v>0.03388885253587</x:v>
      </x:c>
      <x:c r="AF200" s="18" t="n">
        <x:f>ROUND(I200-(F200-G200-H200),2)</x:f>
        <x:v>0</x:v>
      </x:c>
    </x:row>
    <x:row r="201" ht="24" customHeight="1">
      <x:c r="A201" s="14" t="n">
        <x:v>45413</x:v>
      </x:c>
      <x:c r="B201" s="2" t="str">
        <x:v>E-commerce</x:v>
      </x:c>
      <x:c r="C201" s="2" t="str">
        <x:v>Centro-Oeste</x:v>
      </x:c>
      <x:c r="D201" s="2" t="str">
        <x:v>M-0196</x:v>
      </x:c>
      <x:c r="E201" s="16" t="n">
        <x:v>71</x:v>
      </x:c>
      <x:c r="F201" s="17" t="n">
        <x:v>82912.34</x:v>
      </x:c>
      <x:c r="G201" s="17" t="n">
        <x:v>2809.81</x:v>
      </x:c>
      <x:c r="H201" s="17" t="n">
        <x:v>1492.42</x:v>
      </x:c>
      <x:c r="I201" s="17" t="n">
        <x:v>78610.11</x:v>
      </x:c>
      <x:c r="J201" s="17" t="n">
        <x:v>44676.33</x:v>
      </x:c>
      <x:c r="K201" s="17" t="n">
        <x:v>4402.17</x:v>
      </x:c>
      <x:c r="L201" s="17" t="n">
        <x:v>1886.64</x:v>
      </x:c>
      <x:c r="M201" s="17" t="n">
        <x:v>5895.76</x:v>
      </x:c>
      <x:c r="N201" s="16" t="n">
        <x:v>37</x:v>
      </x:c>
      <x:c r="O201" s="16" t="n">
        <x:v>7</x:v>
      </x:c>
      <x:c r="P201" s="16" t="n">
        <x:v>2</x:v>
      </x:c>
      <x:c r="Q201" s="16" t="n">
        <x:v>23</x:v>
      </x:c>
      <x:c r="R201" s="16" t="n">
        <x:v>15</x:v>
      </x:c>
      <x:c r="S201" s="16" t="n">
        <x:v>4</x:v>
      </x:c>
      <x:c r="T201" s="15" t="n">
        <x:f>YEAR(A201)</x:f>
        <x:v>2024</x:v>
      </x:c>
      <x:c r="U201" s="15" t="n">
        <x:f>ROUNDUP(MONTH(A201)/3,0)</x:f>
        <x:v>2</x:v>
      </x:c>
      <x:c r="V201" s="18" t="n">
        <x:f>I201-J201</x:f>
        <x:v>33933.78</x:v>
      </x:c>
      <x:c r="W201" s="19" t="n">
        <x:f>IF(I201=0,"",V201/I201)</x:f>
        <x:v>0.4316719566986994</x:v>
      </x:c>
      <x:c r="X201" s="18" t="n">
        <x:f>I201-J201-K201-L201-M201</x:f>
        <x:v>21749.21</x:v>
      </x:c>
      <x:c r="Y201" s="19" t="n">
        <x:f>IF(I201=0,"",X201/I201)</x:f>
        <x:v>0.27667191917171974</x:v>
      </x:c>
      <x:c r="Z201" s="18" t="n">
        <x:f>IF(E201=0,"",F201/E201)</x:f>
        <x:v>1167.7794366197184</x:v>
      </x:c>
      <x:c r="AA201" s="18" t="n">
        <x:f>IF(N201=0,"",M201/N201)</x:f>
        <x:v>159.34486486486486</x:v>
      </x:c>
      <x:c r="AB201" s="19" t="n">
        <x:f>IF(E201=0,"",O201/E201)</x:f>
        <x:v>0.09859154929577464</x:v>
      </x:c>
      <x:c r="AC201" s="19" t="n">
        <x:f>IF(E201=0,"",P201/E201)</x:f>
        <x:v>0.028169014084507043</x:v>
      </x:c>
      <x:c r="AD201" s="20" t="n">
        <x:f>IF(Q201=0,"",100*(R201-S201)/Q201)</x:f>
        <x:v>47.82608695652174</x:v>
      </x:c>
      <x:c r="AE201" s="19" t="n">
        <x:f>IF(F201=0,"",G201/F201)</x:f>
        <x:v>0.03388892413360906</x:v>
      </x:c>
      <x:c r="AF201" s="18" t="n">
        <x:f>ROUND(I201-(F201-G201-H201),2)</x:f>
        <x:v>0</x:v>
      </x:c>
    </x:row>
    <x:row r="202" ht="24" customHeight="1">
      <x:c r="A202" s="14" t="n">
        <x:v>45413</x:v>
      </x:c>
      <x:c r="B202" s="2" t="str">
        <x:v>Lojas</x:v>
      </x:c>
      <x:c r="C202" s="2" t="str">
        <x:v>Sudeste</x:v>
      </x:c>
      <x:c r="D202" s="2" t="str">
        <x:v>M-0197</x:v>
      </x:c>
      <x:c r="E202" s="16" t="n">
        <x:v>137</x:v>
      </x:c>
      <x:c r="F202" s="17" t="n">
        <x:v>158771.98</x:v>
      </x:c>
      <x:c r="G202" s="17" t="n">
        <x:v>5380.61</x:v>
      </x:c>
      <x:c r="H202" s="17" t="n">
        <x:v>2857.9</x:v>
      </x:c>
      <x:c r="I202" s="17" t="n">
        <x:v>150533.47</x:v>
      </x:c>
      <x:c r="J202" s="17" t="n">
        <x:v>85656.49</x:v>
      </x:c>
      <x:c r="K202" s="17" t="n">
        <x:v>5268.67</x:v>
      </x:c>
      <x:c r="L202" s="17" t="n">
        <x:v>3612.8</x:v>
      </x:c>
      <x:c r="M202" s="17" t="n">
        <x:v>2709.6</x:v>
      </x:c>
      <x:c r="N202" s="16" t="n">
        <x:v>38</x:v>
      </x:c>
      <x:c r="O202" s="16" t="n">
        <x:v>14</x:v>
      </x:c>
      <x:c r="P202" s="16" t="n">
        <x:v>4</x:v>
      </x:c>
      <x:c r="Q202" s="16" t="n">
        <x:v>44</x:v>
      </x:c>
      <x:c r="R202" s="16" t="n">
        <x:v>28</x:v>
      </x:c>
      <x:c r="S202" s="16" t="n">
        <x:v>7</x:v>
      </x:c>
      <x:c r="T202" s="15" t="n">
        <x:f>YEAR(A202)</x:f>
        <x:v>2024</x:v>
      </x:c>
      <x:c r="U202" s="15" t="n">
        <x:f>ROUNDUP(MONTH(A202)/3,0)</x:f>
        <x:v>2</x:v>
      </x:c>
      <x:c r="V202" s="18" t="n">
        <x:f>I202-J202</x:f>
        <x:v>64876.979999999996</x:v>
      </x:c>
      <x:c r="W202" s="19" t="n">
        <x:f>IF(I202=0,"",V202/I202)</x:f>
        <x:v>0.43098043245797757</x:v>
      </x:c>
      <x:c r="X202" s="18" t="n">
        <x:f>I202-J202-K202-L202-M202</x:f>
        <x:v>53285.909999999996</x:v>
      </x:c>
      <x:c r="Y202" s="19" t="n">
        <x:f>IF(I202=0,"",X202/I202)</x:f>
        <x:v>0.35398048022144174</x:v>
      </x:c>
      <x:c r="Z202" s="18" t="n">
        <x:f>IF(E202=0,"",F202/E202)</x:f>
        <x:v>1158.9195620437956</x:v>
      </x:c>
      <x:c r="AA202" s="18" t="n">
        <x:f>IF(N202=0,"",M202/N202)</x:f>
        <x:v>71.30526315789473</x:v>
      </x:c>
      <x:c r="AB202" s="19" t="n">
        <x:f>IF(E202=0,"",O202/E202)</x:f>
        <x:v>0.10218978102189781</x:v>
      </x:c>
      <x:c r="AC202" s="19" t="n">
        <x:f>IF(E202=0,"",P202/E202)</x:f>
        <x:v>0.029197080291970802</x:v>
      </x:c>
      <x:c r="AD202" s="20" t="n">
        <x:f>IF(Q202=0,"",100*(R202-S202)/Q202)</x:f>
        <x:v>47.72727272727273</x:v>
      </x:c>
      <x:c r="AE202" s="19" t="n">
        <x:f>IF(F202=0,"",G202/F202)</x:f>
        <x:v>0.03388891415223265</x:v>
      </x:c>
      <x:c r="AF202" s="18" t="n">
        <x:f>ROUND(I202-(F202-G202-H202),2)</x:f>
        <x:v>0</x:v>
      </x:c>
    </x:row>
    <x:row r="203" ht="24" customHeight="1">
      <x:c r="A203" s="14" t="n">
        <x:v>45413</x:v>
      </x:c>
      <x:c r="B203" s="2" t="str">
        <x:v>Lojas</x:v>
      </x:c>
      <x:c r="C203" s="2" t="str">
        <x:v>Nordeste</x:v>
      </x:c>
      <x:c r="D203" s="2" t="str">
        <x:v>M-0198</x:v>
      </x:c>
      <x:c r="E203" s="16" t="n">
        <x:v>105</x:v>
      </x:c>
      <x:c r="F203" s="17" t="n">
        <x:v>121790.79</x:v>
      </x:c>
      <x:c r="G203" s="17" t="n">
        <x:v>4127.35</x:v>
      </x:c>
      <x:c r="H203" s="17" t="n">
        <x:v>2192.23</x:v>
      </x:c>
      <x:c r="I203" s="17" t="n">
        <x:v>115471.21</x:v>
      </x:c>
      <x:c r="J203" s="17" t="n">
        <x:v>62898.92</x:v>
      </x:c>
      <x:c r="K203" s="17" t="n">
        <x:v>4041.49</x:v>
      </x:c>
      <x:c r="L203" s="17" t="n">
        <x:v>2771.31</x:v>
      </x:c>
      <x:c r="M203" s="17" t="n">
        <x:v>2078.48</x:v>
      </x:c>
      <x:c r="N203" s="16" t="n">
        <x:v>29</x:v>
      </x:c>
      <x:c r="O203" s="16" t="n">
        <x:v>11</x:v>
      </x:c>
      <x:c r="P203" s="16" t="n">
        <x:v>3</x:v>
      </x:c>
      <x:c r="Q203" s="16" t="n">
        <x:v>34</x:v>
      </x:c>
      <x:c r="R203" s="16" t="n">
        <x:v>22</x:v>
      </x:c>
      <x:c r="S203" s="16" t="n">
        <x:v>6</x:v>
      </x:c>
      <x:c r="T203" s="15" t="n">
        <x:f>YEAR(A203)</x:f>
        <x:v>2024</x:v>
      </x:c>
      <x:c r="U203" s="15" t="n">
        <x:f>ROUNDUP(MONTH(A203)/3,0)</x:f>
        <x:v>2</x:v>
      </x:c>
      <x:c r="V203" s="18" t="n">
        <x:f>I203-J203</x:f>
        <x:v>52572.29000000001</x:v>
      </x:c>
      <x:c r="W203" s="19" t="n">
        <x:f>IF(I203=0,"",V203/I203)</x:f>
        <x:v>0.4552848281402785</x:v>
      </x:c>
      <x:c r="X203" s="18" t="n">
        <x:f>I203-J203-K203-L203-M203</x:f>
        <x:v>43681.01000000001</x:v>
      </x:c>
      <x:c r="Y203" s="19" t="n">
        <x:f>IF(I203=0,"",X203/I203)</x:f>
        <x:v>0.3782848555930089</x:v>
      </x:c>
      <x:c r="Z203" s="18" t="n">
        <x:f>IF(E203=0,"",F203/E203)</x:f>
        <x:v>1159.9122857142856</x:v>
      </x:c>
      <x:c r="AA203" s="18" t="n">
        <x:f>IF(N203=0,"",M203/N203)</x:f>
        <x:v>71.67172413793104</x:v>
      </x:c>
      <x:c r="AB203" s="19" t="n">
        <x:f>IF(E203=0,"",O203/E203)</x:f>
        <x:v>0.10476190476190476</x:v>
      </x:c>
      <x:c r="AC203" s="19" t="n">
        <x:f>IF(E203=0,"",P203/E203)</x:f>
        <x:v>0.02857142857142857</x:v>
      </x:c>
      <x:c r="AD203" s="20" t="n">
        <x:f>IF(Q203=0,"",100*(R203-S203)/Q203)</x:f>
        <x:v>47.05882352941177</x:v>
      </x:c>
      <x:c r="AE203" s="19" t="n">
        <x:f>IF(F203=0,"",G203/F203)</x:f>
        <x:v>0.033888851529742116</x:v>
      </x:c>
      <x:c r="AF203" s="18" t="n">
        <x:f>ROUND(I203-(F203-G203-H203),2)</x:f>
        <x:v>0</x:v>
      </x:c>
    </x:row>
    <x:row r="204" ht="24" customHeight="1">
      <x:c r="A204" s="14" t="n">
        <x:v>45413</x:v>
      </x:c>
      <x:c r="B204" s="2" t="str">
        <x:v>Lojas</x:v>
      </x:c>
      <x:c r="C204" s="2" t="str">
        <x:v>Sul</x:v>
      </x:c>
      <x:c r="D204" s="2" t="str">
        <x:v>M-0199</x:v>
      </x:c>
      <x:c r="E204" s="16" t="n">
        <x:v>73</x:v>
      </x:c>
      <x:c r="F204" s="17" t="n">
        <x:v>84627.23</x:v>
      </x:c>
      <x:c r="G204" s="17" t="n">
        <x:v>2867.92</x:v>
      </x:c>
      <x:c r="H204" s="17" t="n">
        <x:v>1523.29</x:v>
      </x:c>
      <x:c r="I204" s="17" t="n">
        <x:v>80236.02</x:v>
      </x:c>
      <x:c r="J204" s="17" t="n">
        <x:v>44992.55</x:v>
      </x:c>
      <x:c r="K204" s="17" t="n">
        <x:v>2808.26</x:v>
      </x:c>
      <x:c r="L204" s="17" t="n">
        <x:v>1925.66</x:v>
      </x:c>
      <x:c r="M204" s="17" t="n">
        <x:v>1444.25</x:v>
      </x:c>
      <x:c r="N204" s="16" t="n">
        <x:v>20</x:v>
      </x:c>
      <x:c r="O204" s="16" t="n">
        <x:v>8</x:v>
      </x:c>
      <x:c r="P204" s="16" t="n">
        <x:v>2</x:v>
      </x:c>
      <x:c r="Q204" s="16" t="n">
        <x:v>23</x:v>
      </x:c>
      <x:c r="R204" s="16" t="n">
        <x:v>15</x:v>
      </x:c>
      <x:c r="S204" s="16" t="n">
        <x:v>4</x:v>
      </x:c>
      <x:c r="T204" s="15" t="n">
        <x:f>YEAR(A204)</x:f>
        <x:v>2024</x:v>
      </x:c>
      <x:c r="U204" s="15" t="n">
        <x:f>ROUNDUP(MONTH(A204)/3,0)</x:f>
        <x:v>2</x:v>
      </x:c>
      <x:c r="V204" s="18" t="n">
        <x:f>I204-J204</x:f>
        <x:v>35243.47</x:v>
      </x:c>
      <x:c r="W204" s="19" t="n">
        <x:f>IF(I204=0,"",V204/I204)</x:f>
        <x:v>0.4392474851070629</x:v>
      </x:c>
      <x:c r="X204" s="18" t="n">
        <x:f>I204-J204-K204-L204-M204</x:f>
        <x:v>29065.3</x:v>
      </x:c>
      <x:c r="Y204" s="19" t="n">
        <x:f>IF(I204=0,"",X204/I204)</x:f>
        <x:v>0.3622475292268983</x:v>
      </x:c>
      <x:c r="Z204" s="18" t="n">
        <x:f>IF(E204=0,"",F204/E204)</x:f>
        <x:v>1159.2771232876712</x:v>
      </x:c>
      <x:c r="AA204" s="18" t="n">
        <x:f>IF(N204=0,"",M204/N204)</x:f>
        <x:v>72.2125</x:v>
      </x:c>
      <x:c r="AB204" s="19" t="n">
        <x:f>IF(E204=0,"",O204/E204)</x:f>
        <x:v>0.1095890410958904</x:v>
      </x:c>
      <x:c r="AC204" s="19" t="n">
        <x:f>IF(E204=0,"",P204/E204)</x:f>
        <x:v>0.0273972602739726</x:v>
      </x:c>
      <x:c r="AD204" s="20" t="n">
        <x:f>IF(Q204=0,"",100*(R204-S204)/Q204)</x:f>
        <x:v>47.82608695652174</x:v>
      </x:c>
      <x:c r="AE204" s="19" t="n">
        <x:f>IF(F204=0,"",G204/F204)</x:f>
        <x:v>0.03388885586825895</x:v>
      </x:c>
      <x:c r="AF204" s="18" t="n">
        <x:f>ROUND(I204-(F204-G204-H204),2)</x:f>
        <x:v>0</x:v>
      </x:c>
    </x:row>
    <x:row r="205" ht="24" customHeight="1">
      <x:c r="A205" s="14" t="n">
        <x:v>45413</x:v>
      </x:c>
      <x:c r="B205" s="2" t="str">
        <x:v>Lojas</x:v>
      </x:c>
      <x:c r="C205" s="2" t="str">
        <x:v>Centro-Oeste</x:v>
      </x:c>
      <x:c r="D205" s="2" t="str">
        <x:v>M-0200</x:v>
      </x:c>
      <x:c r="E205" s="16" t="n">
        <x:v>59</x:v>
      </x:c>
      <x:c r="F205" s="17" t="n">
        <x:v>68970.42</x:v>
      </x:c>
      <x:c r="G205" s="17" t="n">
        <x:v>2337.33</x:v>
      </x:c>
      <x:c r="H205" s="17" t="n">
        <x:v>1241.47</x:v>
      </x:c>
      <x:c r="I205" s="17" t="n">
        <x:v>65391.62</x:v>
      </x:c>
      <x:c r="J205" s="17" t="n">
        <x:v>35596.31</x:v>
      </x:c>
      <x:c r="K205" s="17" t="n">
        <x:v>2288.71</x:v>
      </x:c>
      <x:c r="L205" s="17" t="n">
        <x:v>1569.4</x:v>
      </x:c>
      <x:c r="M205" s="17" t="n">
        <x:v>1177.05</x:v>
      </x:c>
      <x:c r="N205" s="16" t="n">
        <x:v>17</x:v>
      </x:c>
      <x:c r="O205" s="16" t="n">
        <x:v>6</x:v>
      </x:c>
      <x:c r="P205" s="16" t="n">
        <x:v>2</x:v>
      </x:c>
      <x:c r="Q205" s="16" t="n">
        <x:v>19</x:v>
      </x:c>
      <x:c r="R205" s="16" t="n">
        <x:v>12</x:v>
      </x:c>
      <x:c r="S205" s="16" t="n">
        <x:v>3</x:v>
      </x:c>
      <x:c r="T205" s="15" t="n">
        <x:f>YEAR(A205)</x:f>
        <x:v>2024</x:v>
      </x:c>
      <x:c r="U205" s="15" t="n">
        <x:f>ROUNDUP(MONTH(A205)/3,0)</x:f>
        <x:v>2</x:v>
      </x:c>
      <x:c r="V205" s="18" t="n">
        <x:f>I205-J205</x:f>
        <x:v>29795.310000000005</x:v>
      </x:c>
      <x:c r="W205" s="19" t="n">
        <x:f>IF(I205=0,"",V205/I205)</x:f>
        <x:v>0.45564416357937</x:v>
      </x:c>
      <x:c r="X205" s="18" t="n">
        <x:f>I205-J205-K205-L205-M205</x:f>
        <x:v>24760.150000000005</x:v>
      </x:c>
      <x:c r="Y205" s="19" t="n">
        <x:f>IF(I205=0,"",X205/I205)</x:f>
        <x:v>0.3786440831409285</x:v>
      </x:c>
      <x:c r="Z205" s="18" t="n">
        <x:f>IF(E205=0,"",F205/E205)</x:f>
        <x:v>1168.9901694915254</x:v>
      </x:c>
      <x:c r="AA205" s="18" t="n">
        <x:f>IF(N205=0,"",M205/N205)</x:f>
        <x:v>69.23823529411764</x:v>
      </x:c>
      <x:c r="AB205" s="19" t="n">
        <x:f>IF(E205=0,"",O205/E205)</x:f>
        <x:v>0.1016949152542373</x:v>
      </x:c>
      <x:c r="AC205" s="19" t="n">
        <x:f>IF(E205=0,"",P205/E205)</x:f>
        <x:v>0.03389830508474576</x:v>
      </x:c>
      <x:c r="AD205" s="20" t="n">
        <x:f>IF(Q205=0,"",100*(R205-S205)/Q205)</x:f>
        <x:v>47.36842105263158</x:v>
      </x:c>
      <x:c r="AE205" s="19" t="n">
        <x:f>IF(F205=0,"",G205/F205)</x:f>
        <x:v>0.03388887583981655</x:v>
      </x:c>
      <x:c r="AF205" s="18" t="n">
        <x:f>ROUND(I205-(F205-G205-H205),2)</x:f>
        <x:v>0</x:v>
      </x:c>
    </x:row>
    <x:row r="206" ht="24" customHeight="1">
      <x:c r="A206" s="14" t="n">
        <x:v>45413</x:v>
      </x:c>
      <x:c r="B206" s="2" t="str">
        <x:v>B2B</x:v>
      </x:c>
      <x:c r="C206" s="2" t="str">
        <x:v>Sudeste</x:v>
      </x:c>
      <x:c r="D206" s="2" t="str">
        <x:v>M-0201</x:v>
      </x:c>
      <x:c r="E206" s="16" t="n">
        <x:v>87</x:v>
      </x:c>
      <x:c r="F206" s="17" t="n">
        <x:v>100682.43</x:v>
      </x:c>
      <x:c r="G206" s="17" t="n">
        <x:v>3412.02</x:v>
      </x:c>
      <x:c r="H206" s="17" t="n">
        <x:v>1812.28</x:v>
      </x:c>
      <x:c r="I206" s="17" t="n">
        <x:v>95458.13</x:v>
      </x:c>
      <x:c r="J206" s="17" t="n">
        <x:v>52912.36</x:v>
      </x:c>
      <x:c r="K206" s="17" t="n">
        <x:v>3341.03</x:v>
      </x:c>
      <x:c r="L206" s="17" t="n">
        <x:v>2291</x:v>
      </x:c>
      <x:c r="M206" s="17" t="n">
        <x:v>1718.25</x:v>
      </x:c>
      <x:c r="N206" s="16" t="n">
        <x:v>24</x:v>
      </x:c>
      <x:c r="O206" s="16" t="n">
        <x:v>9</x:v>
      </x:c>
      <x:c r="P206" s="16" t="n">
        <x:v>2</x:v>
      </x:c>
      <x:c r="Q206" s="16" t="n">
        <x:v>28</x:v>
      </x:c>
      <x:c r="R206" s="16" t="n">
        <x:v>18</x:v>
      </x:c>
      <x:c r="S206" s="16" t="n">
        <x:v>5</x:v>
      </x:c>
      <x:c r="T206" s="15" t="n">
        <x:f>YEAR(A206)</x:f>
        <x:v>2024</x:v>
      </x:c>
      <x:c r="U206" s="15" t="n">
        <x:f>ROUNDUP(MONTH(A206)/3,0)</x:f>
        <x:v>2</x:v>
      </x:c>
      <x:c r="V206" s="18" t="n">
        <x:f>I206-J206</x:f>
        <x:v>42545.770000000004</x:v>
      </x:c>
      <x:c r="W206" s="19" t="n">
        <x:f>IF(I206=0,"",V206/I206)</x:f>
        <x:v>0.4457008533479548</x:v>
      </x:c>
      <x:c r="X206" s="18" t="n">
        <x:f>I206-J206-K206-L206-M206</x:f>
        <x:v>35195.490000000005</x:v>
      </x:c>
      <x:c r="Y206" s="19" t="n">
        <x:f>IF(I206=0,"",X206/I206)</x:f>
        <x:v>0.36870081154952444</x:v>
      </x:c>
      <x:c r="Z206" s="18" t="n">
        <x:f>IF(E206=0,"",F206/E206)</x:f>
        <x:v>1157.2693103448275</x:v>
      </x:c>
      <x:c r="AA206" s="18" t="n">
        <x:f>IF(N206=0,"",M206/N206)</x:f>
        <x:v>71.59375</x:v>
      </x:c>
      <x:c r="AB206" s="19" t="n">
        <x:f>IF(E206=0,"",O206/E206)</x:f>
        <x:v>0.10344827586206896</x:v>
      </x:c>
      <x:c r="AC206" s="19" t="n">
        <x:f>IF(E206=0,"",P206/E206)</x:f>
        <x:v>0.022988505747126436</x:v>
      </x:c>
      <x:c r="AD206" s="20" t="n">
        <x:f>IF(Q206=0,"",100*(R206-S206)/Q206)</x:f>
        <x:v>46.42857142857143</x:v>
      </x:c>
      <x:c r="AE206" s="19" t="n">
        <x:f>IF(F206=0,"",G206/F206)</x:f>
        <x:v>0.03388893176296997</x:v>
      </x:c>
      <x:c r="AF206" s="18" t="n">
        <x:f>ROUND(I206-(F206-G206-H206),2)</x:f>
        <x:v>0</x:v>
      </x:c>
    </x:row>
    <x:row r="207" ht="24" customHeight="1">
      <x:c r="A207" s="14" t="n">
        <x:v>45413</x:v>
      </x:c>
      <x:c r="B207" s="2" t="str">
        <x:v>B2B</x:v>
      </x:c>
      <x:c r="C207" s="2" t="str">
        <x:v>Nordeste</x:v>
      </x:c>
      <x:c r="D207" s="2" t="str">
        <x:v>M-0202</x:v>
      </x:c>
      <x:c r="E207" s="16" t="n">
        <x:v>67</x:v>
      </x:c>
      <x:c r="F207" s="17" t="n">
        <x:v>77959.67</x:v>
      </x:c>
      <x:c r="G207" s="17" t="n">
        <x:v>2641.97</x:v>
      </x:c>
      <x:c r="H207" s="17" t="n">
        <x:v>1403.27</x:v>
      </x:c>
      <x:c r="I207" s="17" t="n">
        <x:v>73914.43</x:v>
      </x:c>
      <x:c r="J207" s="17" t="n">
        <x:v>40032.84</x:v>
      </x:c>
      <x:c r="K207" s="17" t="n">
        <x:v>2587.01</x:v>
      </x:c>
      <x:c r="L207" s="17" t="n">
        <x:v>1773.95</x:v>
      </x:c>
      <x:c r="M207" s="17" t="n">
        <x:v>1330.46</x:v>
      </x:c>
      <x:c r="N207" s="16" t="n">
        <x:v>19</x:v>
      </x:c>
      <x:c r="O207" s="16" t="n">
        <x:v>7</x:v>
      </x:c>
      <x:c r="P207" s="16" t="n">
        <x:v>2</x:v>
      </x:c>
      <x:c r="Q207" s="16" t="n">
        <x:v>21</x:v>
      </x:c>
      <x:c r="R207" s="16" t="n">
        <x:v>14</x:v>
      </x:c>
      <x:c r="S207" s="16" t="n">
        <x:v>3</x:v>
      </x:c>
      <x:c r="T207" s="15" t="n">
        <x:f>YEAR(A207)</x:f>
        <x:v>2024</x:v>
      </x:c>
      <x:c r="U207" s="15" t="n">
        <x:f>ROUNDUP(MONTH(A207)/3,0)</x:f>
        <x:v>2</x:v>
      </x:c>
      <x:c r="V207" s="18" t="n">
        <x:f>I207-J207</x:f>
        <x:v>33881.59</x:v>
      </x:c>
      <x:c r="W207" s="19" t="n">
        <x:f>IF(I207=0,"",V207/I207)</x:f>
        <x:v>0.4583893835073882</x:v>
      </x:c>
      <x:c r="X207" s="18" t="n">
        <x:f>I207-J207-K207-L207-M207</x:f>
        <x:v>28190.169999999995</x:v>
      </x:c>
      <x:c r="Y207" s="19" t="n">
        <x:f>IF(I207=0,"",X207/I207)</x:f>
        <x:v>0.3813892632331738</x:v>
      </x:c>
      <x:c r="Z207" s="18" t="n">
        <x:f>IF(E207=0,"",F207/E207)</x:f>
        <x:v>1163.5771641791046</x:v>
      </x:c>
      <x:c r="AA207" s="18" t="n">
        <x:f>IF(N207=0,"",M207/N207)</x:f>
        <x:v>70.0242105263158</x:v>
      </x:c>
      <x:c r="AB207" s="19" t="n">
        <x:f>IF(E207=0,"",O207/E207)</x:f>
        <x:v>0.1044776119402985</x:v>
      </x:c>
      <x:c r="AC207" s="19" t="n">
        <x:f>IF(E207=0,"",P207/E207)</x:f>
        <x:v>0.029850746268656716</x:v>
      </x:c>
      <x:c r="AD207" s="20" t="n">
        <x:f>IF(Q207=0,"",100*(R207-S207)/Q207)</x:f>
        <x:v>52.38095238095238</x:v>
      </x:c>
      <x:c r="AE207" s="19" t="n">
        <x:f>IF(F207=0,"",G207/F207)</x:f>
        <x:v>0.033888932572444186</x:v>
      </x:c>
      <x:c r="AF207" s="18" t="n">
        <x:f>ROUND(I207-(F207-G207-H207),2)</x:f>
        <x:v>0</x:v>
      </x:c>
    </x:row>
    <x:row r="208" ht="24" customHeight="1">
      <x:c r="A208" s="14" t="n">
        <x:v>45413</x:v>
      </x:c>
      <x:c r="B208" s="2" t="str">
        <x:v>B2B</x:v>
      </x:c>
      <x:c r="C208" s="2" t="str">
        <x:v>Sul</x:v>
      </x:c>
      <x:c r="D208" s="2" t="str">
        <x:v>M-0203</x:v>
      </x:c>
      <x:c r="E208" s="16" t="n">
        <x:v>53</x:v>
      </x:c>
      <x:c r="F208" s="17" t="n">
        <x:v>61857.97</x:v>
      </x:c>
      <x:c r="G208" s="17" t="n">
        <x:v>2096.3</x:v>
      </x:c>
      <x:c r="H208" s="17" t="n">
        <x:v>1113.44</x:v>
      </x:c>
      <x:c r="I208" s="17" t="n">
        <x:v>58648.23</x:v>
      </x:c>
      <x:c r="J208" s="17" t="n">
        <x:v>32786.54</x:v>
      </x:c>
      <x:c r="K208" s="17" t="n">
        <x:v>2052.69</x:v>
      </x:c>
      <x:c r="L208" s="17" t="n">
        <x:v>1407.56</x:v>
      </x:c>
      <x:c r="M208" s="17" t="n">
        <x:v>1055.67</x:v>
      </x:c>
      <x:c r="N208" s="16" t="n">
        <x:v>15</x:v>
      </x:c>
      <x:c r="O208" s="16" t="n">
        <x:v>6</x:v>
      </x:c>
      <x:c r="P208" s="16" t="n">
        <x:v>1</x:v>
      </x:c>
      <x:c r="Q208" s="16" t="n">
        <x:v>17</x:v>
      </x:c>
      <x:c r="R208" s="16" t="n">
        <x:v>11</x:v>
      </x:c>
      <x:c r="S208" s="16" t="n">
        <x:v>3</x:v>
      </x:c>
      <x:c r="T208" s="15" t="n">
        <x:f>YEAR(A208)</x:f>
        <x:v>2024</x:v>
      </x:c>
      <x:c r="U208" s="15" t="n">
        <x:f>ROUNDUP(MONTH(A208)/3,0)</x:f>
        <x:v>2</x:v>
      </x:c>
      <x:c r="V208" s="18" t="n">
        <x:f>I208-J208</x:f>
        <x:v>25861.690000000002</x:v>
      </x:c>
      <x:c r="W208" s="19" t="n">
        <x:f>IF(I208=0,"",V208/I208)</x:f>
        <x:v>0.44096283894671673</x:v>
      </x:c>
      <x:c r="X208" s="18" t="n">
        <x:f>I208-J208-K208-L208-M208</x:f>
        <x:v>21345.770000000004</x:v>
      </x:c>
      <x:c r="Y208" s="19" t="n">
        <x:f>IF(I208=0,"",X208/I208)</x:f>
        <x:v>0.36396273169710325</x:v>
      </x:c>
      <x:c r="Z208" s="18" t="n">
        <x:f>IF(E208=0,"",F208/E208)</x:f>
        <x:v>1167.1315094339623</x:v>
      </x:c>
      <x:c r="AA208" s="18" t="n">
        <x:f>IF(N208=0,"",M208/N208)</x:f>
        <x:v>70.378</x:v>
      </x:c>
      <x:c r="AB208" s="19" t="n">
        <x:f>IF(E208=0,"",O208/E208)</x:f>
        <x:v>0.11320754716981132</x:v>
      </x:c>
      <x:c r="AC208" s="19" t="n">
        <x:f>IF(E208=0,"",P208/E208)</x:f>
        <x:v>0.018867924528301886</x:v>
      </x:c>
      <x:c r="AD208" s="20" t="n">
        <x:f>IF(Q208=0,"",100*(R208-S208)/Q208)</x:f>
        <x:v>47.05882352941177</x:v>
      </x:c>
      <x:c r="AE208" s="19" t="n">
        <x:f>IF(F208=0,"",G208/F208)</x:f>
        <x:v>0.033888923286684</x:v>
      </x:c>
      <x:c r="AF208" s="18" t="n">
        <x:f>ROUND(I208-(F208-G208-H208),2)</x:f>
        <x:v>0</x:v>
      </x:c>
    </x:row>
    <x:row r="209" ht="24" customHeight="1">
      <x:c r="A209" s="14" t="n">
        <x:v>45413</x:v>
      </x:c>
      <x:c r="B209" s="2" t="str">
        <x:v>B2B</x:v>
      </x:c>
      <x:c r="C209" s="2" t="str">
        <x:v>Centro-Oeste</x:v>
      </x:c>
      <x:c r="D209" s="2" t="str">
        <x:v>M-0204</x:v>
      </x:c>
      <x:c r="E209" s="16" t="n">
        <x:v>38</x:v>
      </x:c>
      <x:c r="F209" s="17" t="n">
        <x:v>44372.88</x:v>
      </x:c>
      <x:c r="G209" s="17" t="n">
        <x:v>1503.75</x:v>
      </x:c>
      <x:c r="H209" s="17" t="n">
        <x:v>798.71</x:v>
      </x:c>
      <x:c r="I209" s="17" t="n">
        <x:v>42070.42</x:v>
      </x:c>
      <x:c r="J209" s="17" t="n">
        <x:v>24809.48</x:v>
      </x:c>
      <x:c r="K209" s="17" t="n">
        <x:v>1472.46</x:v>
      </x:c>
      <x:c r="L209" s="17" t="n">
        <x:v>1009.69</x:v>
      </x:c>
      <x:c r="M209" s="17" t="n">
        <x:v>757.27</x:v>
      </x:c>
      <x:c r="N209" s="16" t="n">
        <x:v>11</x:v>
      </x:c>
      <x:c r="O209" s="16" t="n">
        <x:v>4</x:v>
      </x:c>
      <x:c r="P209" s="16" t="n">
        <x:v>1</x:v>
      </x:c>
      <x:c r="Q209" s="16" t="n">
        <x:v>12</x:v>
      </x:c>
      <x:c r="R209" s="16" t="n">
        <x:v>8</x:v>
      </x:c>
      <x:c r="S209" s="16" t="n">
        <x:v>2</x:v>
      </x:c>
      <x:c r="T209" s="15" t="n">
        <x:f>YEAR(A209)</x:f>
        <x:v>2024</x:v>
      </x:c>
      <x:c r="U209" s="15" t="n">
        <x:f>ROUNDUP(MONTH(A209)/3,0)</x:f>
        <x:v>2</x:v>
      </x:c>
      <x:c r="V209" s="18" t="n">
        <x:f>I209-J209</x:f>
        <x:v>17260.94</x:v>
      </x:c>
      <x:c r="W209" s="19" t="n">
        <x:f>IF(I209=0,"",V209/I209)</x:f>
        <x:v>0.4102868476235797</x:v>
      </x:c>
      <x:c r="X209" s="18" t="n">
        <x:f>I209-J209-K209-L209-M209</x:f>
        <x:v>14021.519999999999</x:v>
      </x:c>
      <x:c r="Y209" s="19" t="n">
        <x:f>IF(I209=0,"",X209/I209)</x:f>
        <x:v>0.33328690324460747</x:v>
      </x:c>
      <x:c r="Z209" s="18" t="n">
        <x:f>IF(E209=0,"",F209/E209)</x:f>
        <x:v>1167.7073684210525</x:v>
      </x:c>
      <x:c r="AA209" s="18" t="n">
        <x:f>IF(N209=0,"",M209/N209)</x:f>
        <x:v>68.84272727272727</x:v>
      </x:c>
      <x:c r="AB209" s="19" t="n">
        <x:f>IF(E209=0,"",O209/E209)</x:f>
        <x:v>0.10526315789473684</x:v>
      </x:c>
      <x:c r="AC209" s="19" t="n">
        <x:f>IF(E209=0,"",P209/E209)</x:f>
        <x:v>0.02631578947368421</x:v>
      </x:c>
      <x:c r="AD209" s="20" t="n">
        <x:f>IF(Q209=0,"",100*(R209-S209)/Q209)</x:f>
        <x:v>50</x:v>
      </x:c>
      <x:c r="AE209" s="19" t="n">
        <x:f>IF(F209=0,"",G209/F209)</x:f>
        <x:v>0.03388894297597993</x:v>
      </x:c>
      <x:c r="AF209" s="18" t="n">
        <x:f>ROUND(I209-(F209-G209-H209),2)</x:f>
        <x:v>0</x:v>
      </x:c>
    </x:row>
    <x:row r="210" ht="24" customHeight="1">
      <x:c r="A210" s="14" t="n">
        <x:v>45444</x:v>
      </x:c>
      <x:c r="B210" s="2" t="str">
        <x:v>E-commerce</x:v>
      </x:c>
      <x:c r="C210" s="2" t="str">
        <x:v>Sudeste</x:v>
      </x:c>
      <x:c r="D210" s="2" t="str">
        <x:v>M-0205</x:v>
      </x:c>
      <x:c r="E210" s="16" t="n">
        <x:v>160</x:v>
      </x:c>
      <x:c r="F210" s="17" t="n">
        <x:v>186239.17</x:v>
      </x:c>
      <x:c r="G210" s="17" t="n">
        <x:v>6414.9</x:v>
      </x:c>
      <x:c r="H210" s="17" t="n">
        <x:v>3445.42</x:v>
      </x:c>
      <x:c r="I210" s="17" t="n">
        <x:v>176378.85</x:v>
      </x:c>
      <x:c r="J210" s="17" t="n">
        <x:v>99431.16</x:v>
      </x:c>
      <x:c r="K210" s="17" t="n">
        <x:v>10053.59</x:v>
      </x:c>
      <x:c r="L210" s="17" t="n">
        <x:v>4233.09</x:v>
      </x:c>
      <x:c r="M210" s="17" t="n">
        <x:v>13228.41</x:v>
      </x:c>
      <x:c r="N210" s="16" t="n">
        <x:v>83</x:v>
      </x:c>
      <x:c r="O210" s="16" t="n">
        <x:v>17</x:v>
      </x:c>
      <x:c r="P210" s="16" t="n">
        <x:v>4</x:v>
      </x:c>
      <x:c r="Q210" s="16" t="n">
        <x:v>51</x:v>
      </x:c>
      <x:c r="R210" s="16" t="n">
        <x:v>33</x:v>
      </x:c>
      <x:c r="S210" s="16" t="n">
        <x:v>9</x:v>
      </x:c>
      <x:c r="T210" s="15" t="n">
        <x:f>YEAR(A210)</x:f>
        <x:v>2024</x:v>
      </x:c>
      <x:c r="U210" s="15" t="n">
        <x:f>ROUNDUP(MONTH(A210)/3,0)</x:f>
        <x:v>2</x:v>
      </x:c>
      <x:c r="V210" s="18" t="n">
        <x:f>I210-J210</x:f>
        <x:v>76947.69</x:v>
      </x:c>
      <x:c r="W210" s="19" t="n">
        <x:f>IF(I210=0,"",V210/I210)</x:f>
        <x:v>0.43626370168532114</x:v>
      </x:c>
      <x:c r="X210" s="18" t="n">
        <x:f>I210-J210-K210-L210-M210</x:f>
        <x:v>49432.600000000006</x:v>
      </x:c>
      <x:c r="Y210" s="19" t="n">
        <x:f>IF(I210=0,"",X210/I210)</x:f>
        <x:v>0.2802637617832297</x:v>
      </x:c>
      <x:c r="Z210" s="18" t="n">
        <x:f>IF(E210=0,"",F210/E210)</x:f>
        <x:v>1163.9948125</x:v>
      </x:c>
      <x:c r="AA210" s="18" t="n">
        <x:f>IF(N210=0,"",M210/N210)</x:f>
        <x:v>159.37843373493976</x:v>
      </x:c>
      <x:c r="AB210" s="19" t="n">
        <x:f>IF(E210=0,"",O210/E210)</x:f>
        <x:v>0.10625</x:v>
      </x:c>
      <x:c r="AC210" s="19" t="n">
        <x:f>IF(E210=0,"",P210/E210)</x:f>
        <x:v>0.025</x:v>
      </x:c>
      <x:c r="AD210" s="20" t="n">
        <x:f>IF(Q210=0,"",100*(R210-S210)/Q210)</x:f>
        <x:v>47.05882352941177</x:v>
      </x:c>
      <x:c r="AE210" s="19" t="n">
        <x:f>IF(F210=0,"",G210/F210)</x:f>
        <x:v>0.03444441896943591</x:v>
      </x:c>
      <x:c r="AF210" s="18" t="n">
        <x:f>ROUND(I210-(F210-G210-H210),2)</x:f>
        <x:v>0</x:v>
      </x:c>
    </x:row>
    <x:row r="211" ht="24" customHeight="1">
      <x:c r="A211" s="14" t="n">
        <x:v>45444</x:v>
      </x:c>
      <x:c r="B211" s="2" t="str">
        <x:v>E-commerce</x:v>
      </x:c>
      <x:c r="C211" s="2" t="str">
        <x:v>Nordeste</x:v>
      </x:c>
      <x:c r="D211" s="2" t="str">
        <x:v>M-0206</x:v>
      </x:c>
      <x:c r="E211" s="16" t="n">
        <x:v>117</x:v>
      </x:c>
      <x:c r="F211" s="17" t="n">
        <x:v>135786.74</x:v>
      </x:c>
      <x:c r="G211" s="17" t="n">
        <x:v>4677.1</x:v>
      </x:c>
      <x:c r="H211" s="17" t="n">
        <x:v>2512.05</x:v>
      </x:c>
      <x:c r="I211" s="17" t="n">
        <x:v>128597.59</x:v>
      </x:c>
      <x:c r="J211" s="17" t="n">
        <x:v>72067.93</x:v>
      </x:c>
      <x:c r="K211" s="17" t="n">
        <x:v>7330.06</x:v>
      </x:c>
      <x:c r="L211" s="17" t="n">
        <x:v>3086.34</x:v>
      </x:c>
      <x:c r="M211" s="17" t="n">
        <x:v>9644.82</x:v>
      </x:c>
      <x:c r="N211" s="16" t="n">
        <x:v>61</x:v>
      </x:c>
      <x:c r="O211" s="16" t="n">
        <x:v>13</x:v>
      </x:c>
      <x:c r="P211" s="16" t="n">
        <x:v>3</x:v>
      </x:c>
      <x:c r="Q211" s="16" t="n">
        <x:v>37</x:v>
      </x:c>
      <x:c r="R211" s="16" t="n">
        <x:v>24</x:v>
      </x:c>
      <x:c r="S211" s="16" t="n">
        <x:v>6</x:v>
      </x:c>
      <x:c r="T211" s="15" t="n">
        <x:f>YEAR(A211)</x:f>
        <x:v>2024</x:v>
      </x:c>
      <x:c r="U211" s="15" t="n">
        <x:f>ROUNDUP(MONTH(A211)/3,0)</x:f>
        <x:v>2</x:v>
      </x:c>
      <x:c r="V211" s="18" t="n">
        <x:f>I211-J211</x:f>
        <x:v>56529.66</x:v>
      </x:c>
      <x:c r="W211" s="19" t="n">
        <x:f>IF(I211=0,"",V211/I211)</x:f>
        <x:v>0.43958568741451537</x:v>
      </x:c>
      <x:c r="X211" s="18" t="n">
        <x:f>I211-J211-K211-L211-M211</x:f>
        <x:v>36468.44000000001</x:v>
      </x:c>
      <x:c r="Y211" s="19" t="n">
        <x:f>IF(I211=0,"",X211/I211)</x:f>
        <x:v>0.28358571883034517</x:v>
      </x:c>
      <x:c r="Z211" s="18" t="n">
        <x:f>IF(E211=0,"",F211/E211)</x:f>
        <x:v>1160.5704273504273</x:v>
      </x:c>
      <x:c r="AA211" s="18" t="n">
        <x:f>IF(N211=0,"",M211/N211)</x:f>
        <x:v>158.1118032786885</x:v>
      </x:c>
      <x:c r="AB211" s="19" t="n">
        <x:f>IF(E211=0,"",O211/E211)</x:f>
        <x:v>0.1111111111111111</x:v>
      </x:c>
      <x:c r="AC211" s="19" t="n">
        <x:f>IF(E211=0,"",P211/E211)</x:f>
        <x:v>0.02564102564102564</x:v>
      </x:c>
      <x:c r="AD211" s="20" t="n">
        <x:f>IF(Q211=0,"",100*(R211-S211)/Q211)</x:f>
        <x:v>48.648648648648646</x:v>
      </x:c>
      <x:c r="AE211" s="19" t="n">
        <x:f>IF(F211=0,"",G211/F211)</x:f>
        <x:v>0.034444453118176344</x:v>
      </x:c>
      <x:c r="AF211" s="18" t="n">
        <x:f>ROUND(I211-(F211-G211-H211),2)</x:f>
        <x:v>0</x:v>
      </x:c>
    </x:row>
    <x:row r="212" ht="24" customHeight="1">
      <x:c r="A212" s="14" t="n">
        <x:v>45444</x:v>
      </x:c>
      <x:c r="B212" s="2" t="str">
        <x:v>E-commerce</x:v>
      </x:c>
      <x:c r="C212" s="2" t="str">
        <x:v>Sul</x:v>
      </x:c>
      <x:c r="D212" s="2" t="str">
        <x:v>M-0207</x:v>
      </x:c>
      <x:c r="E212" s="16" t="n">
        <x:v>90</x:v>
      </x:c>
      <x:c r="F212" s="17" t="n">
        <x:v>104248.22</x:v>
      </x:c>
      <x:c r="G212" s="17" t="n">
        <x:v>3590.77</x:v>
      </x:c>
      <x:c r="H212" s="17" t="n">
        <x:v>1928.59</x:v>
      </x:c>
      <x:c r="I212" s="17" t="n">
        <x:v>98728.86</x:v>
      </x:c>
      <x:c r="J212" s="17" t="n">
        <x:v>58639.44</x:v>
      </x:c>
      <x:c r="K212" s="17" t="n">
        <x:v>5627.55</x:v>
      </x:c>
      <x:c r="L212" s="17" t="n">
        <x:v>2369.49</x:v>
      </x:c>
      <x:c r="M212" s="17" t="n">
        <x:v>7404.66</x:v>
      </x:c>
      <x:c r="N212" s="16" t="n">
        <x:v>47</x:v>
      </x:c>
      <x:c r="O212" s="16" t="n">
        <x:v>10</x:v>
      </x:c>
      <x:c r="P212" s="16" t="n">
        <x:v>2</x:v>
      </x:c>
      <x:c r="Q212" s="16" t="n">
        <x:v>29</x:v>
      </x:c>
      <x:c r="R212" s="16" t="n">
        <x:v>19</x:v>
      </x:c>
      <x:c r="S212" s="16" t="n">
        <x:v>5</x:v>
      </x:c>
      <x:c r="T212" s="15" t="n">
        <x:f>YEAR(A212)</x:f>
        <x:v>2024</x:v>
      </x:c>
      <x:c r="U212" s="15" t="n">
        <x:f>ROUNDUP(MONTH(A212)/3,0)</x:f>
        <x:v>2</x:v>
      </x:c>
      <x:c r="V212" s="18" t="n">
        <x:f>I212-J212</x:f>
        <x:v>40089.42</x:v>
      </x:c>
      <x:c r="W212" s="19" t="n">
        <x:f>IF(I212=0,"",V212/I212)</x:f>
        <x:v>0.4060557368939538</x:v>
      </x:c>
      <x:c r="X212" s="18" t="n">
        <x:f>I212-J212-K212-L212-M212</x:f>
        <x:v>24687.719999999998</x:v>
      </x:c>
      <x:c r="Y212" s="19" t="n">
        <x:f>IF(I212=0,"",X212/I212)</x:f>
        <x:v>0.25005575877205505</x:v>
      </x:c>
      <x:c r="Z212" s="18" t="n">
        <x:f>IF(E212=0,"",F212/E212)</x:f>
        <x:v>1158.3135555555555</x:v>
      </x:c>
      <x:c r="AA212" s="18" t="n">
        <x:f>IF(N212=0,"",M212/N212)</x:f>
        <x:v>157.5459574468085</x:v>
      </x:c>
      <x:c r="AB212" s="19" t="n">
        <x:f>IF(E212=0,"",O212/E212)</x:f>
        <x:v>0.1111111111111111</x:v>
      </x:c>
      <x:c r="AC212" s="19" t="n">
        <x:f>IF(E212=0,"",P212/E212)</x:f>
        <x:v>0.022222222222222223</x:v>
      </x:c>
      <x:c r="AD212" s="20" t="n">
        <x:f>IF(Q212=0,"",100*(R212-S212)/Q212)</x:f>
        <x:v>48.275862068965516</x:v>
      </x:c>
      <x:c r="AE212" s="19" t="n">
        <x:f>IF(F212=0,"",G212/F212)</x:f>
        <x:v>0.034444425046298154</x:v>
      </x:c>
      <x:c r="AF212" s="18" t="n">
        <x:f>ROUND(I212-(F212-G212-H212),2)</x:f>
        <x:v>0</x:v>
      </x:c>
    </x:row>
    <x:row r="213" ht="24" customHeight="1">
      <x:c r="A213" s="14" t="n">
        <x:v>45444</x:v>
      </x:c>
      <x:c r="B213" s="2" t="str">
        <x:v>E-commerce</x:v>
      </x:c>
      <x:c r="C213" s="2" t="str">
        <x:v>Centro-Oeste</x:v>
      </x:c>
      <x:c r="D213" s="2" t="str">
        <x:v>M-0208</x:v>
      </x:c>
      <x:c r="E213" s="16" t="n">
        <x:v>78</x:v>
      </x:c>
      <x:c r="F213" s="17" t="n">
        <x:v>90767.5</x:v>
      </x:c>
      <x:c r="G213" s="17" t="n">
        <x:v>3126.44</x:v>
      </x:c>
      <x:c r="H213" s="17" t="n">
        <x:v>1679.2</x:v>
      </x:c>
      <x:c r="I213" s="17" t="n">
        <x:v>85961.86</x:v>
      </x:c>
      <x:c r="J213" s="17" t="n">
        <x:v>49128.91</x:v>
      </x:c>
      <x:c r="K213" s="17" t="n">
        <x:v>4899.83</x:v>
      </x:c>
      <x:c r="L213" s="17" t="n">
        <x:v>2063.08</x:v>
      </x:c>
      <x:c r="M213" s="17" t="n">
        <x:v>6447.14</x:v>
      </x:c>
      <x:c r="N213" s="16" t="n">
        <x:v>41</x:v>
      </x:c>
      <x:c r="O213" s="16" t="n">
        <x:v>8</x:v>
      </x:c>
      <x:c r="P213" s="16" t="n">
        <x:v>2</x:v>
      </x:c>
      <x:c r="Q213" s="16" t="n">
        <x:v>25</x:v>
      </x:c>
      <x:c r="R213" s="16" t="n">
        <x:v>16</x:v>
      </x:c>
      <x:c r="S213" s="16" t="n">
        <x:v>4</x:v>
      </x:c>
      <x:c r="T213" s="15" t="n">
        <x:f>YEAR(A213)</x:f>
        <x:v>2024</x:v>
      </x:c>
      <x:c r="U213" s="15" t="n">
        <x:f>ROUNDUP(MONTH(A213)/3,0)</x:f>
        <x:v>2</x:v>
      </x:c>
      <x:c r="V213" s="18" t="n">
        <x:f>I213-J213</x:f>
        <x:v>36832.95</x:v>
      </x:c>
      <x:c r="W213" s="19" t="n">
        <x:f>IF(I213=0,"",V213/I213)</x:f>
        <x:v>0.42848014223982583</x:v>
      </x:c>
      <x:c r="X213" s="18" t="n">
        <x:f>I213-J213-K213-L213-M213</x:f>
        <x:v>23422.899999999994</x:v>
      </x:c>
      <x:c r="Y213" s="19" t="n">
        <x:f>IF(I213=0,"",X213/I213)</x:f>
        <x:v>0.27248014410111643</x:v>
      </x:c>
      <x:c r="Z213" s="18" t="n">
        <x:f>IF(E213=0,"",F213/E213)</x:f>
        <x:v>1163.6858974358975</x:v>
      </x:c>
      <x:c r="AA213" s="18" t="n">
        <x:f>IF(N213=0,"",M213/N213)</x:f>
        <x:v>157.24731707317073</x:v>
      </x:c>
      <x:c r="AB213" s="19" t="n">
        <x:f>IF(E213=0,"",O213/E213)</x:f>
        <x:v>0.10256410256410256</x:v>
      </x:c>
      <x:c r="AC213" s="19" t="n">
        <x:f>IF(E213=0,"",P213/E213)</x:f>
        <x:v>0.02564102564102564</x:v>
      </x:c>
      <x:c r="AD213" s="20" t="n">
        <x:f>IF(Q213=0,"",100*(R213-S213)/Q213)</x:f>
        <x:v>48</x:v>
      </x:c>
      <x:c r="AE213" s="19" t="n">
        <x:f>IF(F213=0,"",G213/F213)</x:f>
        <x:v>0.034444487288952545</x:v>
      </x:c>
      <x:c r="AF213" s="18" t="n">
        <x:f>ROUND(I213-(F213-G213-H213),2)</x:f>
        <x:v>0</x:v>
      </x:c>
    </x:row>
    <x:row r="214" ht="24" customHeight="1">
      <x:c r="A214" s="14" t="n">
        <x:v>45444</x:v>
      </x:c>
      <x:c r="B214" s="2" t="str">
        <x:v>Lojas</x:v>
      </x:c>
      <x:c r="C214" s="2" t="str">
        <x:v>Sudeste</x:v>
      </x:c>
      <x:c r="D214" s="2" t="str">
        <x:v>M-0209</x:v>
      </x:c>
      <x:c r="E214" s="16" t="n">
        <x:v>134</x:v>
      </x:c>
      <x:c r="F214" s="17" t="n">
        <x:v>155544.26</x:v>
      </x:c>
      <x:c r="G214" s="17" t="n">
        <x:v>5357.64</x:v>
      </x:c>
      <x:c r="H214" s="17" t="n">
        <x:v>2877.57</x:v>
      </x:c>
      <x:c r="I214" s="17" t="n">
        <x:v>147309.05</x:v>
      </x:c>
      <x:c r="J214" s="17" t="n">
        <x:v>83936.88</x:v>
      </x:c>
      <x:c r="K214" s="17" t="n">
        <x:v>5303.13</x:v>
      </x:c>
      <x:c r="L214" s="17" t="n">
        <x:v>3535.42</x:v>
      </x:c>
      <x:c r="M214" s="17" t="n">
        <x:v>2651.56</x:v>
      </x:c>
      <x:c r="N214" s="16" t="n">
        <x:v>38</x:v>
      </x:c>
      <x:c r="O214" s="16" t="n">
        <x:v>14</x:v>
      </x:c>
      <x:c r="P214" s="16" t="n">
        <x:v>4</x:v>
      </x:c>
      <x:c r="Q214" s="16" t="n">
        <x:v>43</x:v>
      </x:c>
      <x:c r="R214" s="16" t="n">
        <x:v>27</x:v>
      </x:c>
      <x:c r="S214" s="16" t="n">
        <x:v>7</x:v>
      </x:c>
      <x:c r="T214" s="15" t="n">
        <x:f>YEAR(A214)</x:f>
        <x:v>2024</x:v>
      </x:c>
      <x:c r="U214" s="15" t="n">
        <x:f>ROUNDUP(MONTH(A214)/3,0)</x:f>
        <x:v>2</x:v>
      </x:c>
      <x:c r="V214" s="18" t="n">
        <x:f>I214-J214</x:f>
        <x:v>63372.169999999984</x:v>
      </x:c>
      <x:c r="W214" s="19" t="n">
        <x:f>IF(I214=0,"",V214/I214)</x:f>
        <x:v>0.4301987556093803</x:v>
      </x:c>
      <x:c r="X214" s="18" t="n">
        <x:f>I214-J214-K214-L214-M214</x:f>
        <x:v>51882.05999999999</x:v>
      </x:c>
      <x:c r="Y214" s="19" t="n">
        <x:f>IF(I214=0,"",X214/I214)</x:f>
        <x:v>0.3521987277767387</x:v>
      </x:c>
      <x:c r="Z214" s="18" t="n">
        <x:f>IF(E214=0,"",F214/E214)</x:f>
        <x:v>1160.7780597014926</x:v>
      </x:c>
      <x:c r="AA214" s="18" t="n">
        <x:f>IF(N214=0,"",M214/N214)</x:f>
        <x:v>69.7778947368421</x:v>
      </x:c>
      <x:c r="AB214" s="19" t="n">
        <x:f>IF(E214=0,"",O214/E214)</x:f>
        <x:v>0.1044776119402985</x:v>
      </x:c>
      <x:c r="AC214" s="19" t="n">
        <x:f>IF(E214=0,"",P214/E214)</x:f>
        <x:v>0.029850746268656716</x:v>
      </x:c>
      <x:c r="AD214" s="20" t="n">
        <x:f>IF(Q214=0,"",100*(R214-S214)/Q214)</x:f>
        <x:v>46.51162790697674</x:v>
      </x:c>
      <x:c r="AE214" s="19" t="n">
        <x:f>IF(F214=0,"",G214/F214)</x:f>
        <x:v>0.03444447258934531</x:v>
      </x:c>
      <x:c r="AF214" s="18" t="n">
        <x:f>ROUND(I214-(F214-G214-H214),2)</x:f>
        <x:v>0</x:v>
      </x:c>
    </x:row>
    <x:row r="215" ht="24" customHeight="1">
      <x:c r="A215" s="14" t="n">
        <x:v>45444</x:v>
      </x:c>
      <x:c r="B215" s="2" t="str">
        <x:v>Lojas</x:v>
      </x:c>
      <x:c r="C215" s="2" t="str">
        <x:v>Nordeste</x:v>
      </x:c>
      <x:c r="D215" s="2" t="str">
        <x:v>M-0210</x:v>
      </x:c>
      <x:c r="E215" s="16" t="n">
        <x:v>110</x:v>
      </x:c>
      <x:c r="F215" s="17" t="n">
        <x:v>128040.42</x:v>
      </x:c>
      <x:c r="G215" s="17" t="n">
        <x:v>4410.28</x:v>
      </x:c>
      <x:c r="H215" s="17" t="n">
        <x:v>2368.75</x:v>
      </x:c>
      <x:c r="I215" s="17" t="n">
        <x:v>121261.39</x:v>
      </x:c>
      <x:c r="J215" s="17" t="n">
        <x:v>67287.73</x:v>
      </x:c>
      <x:c r="K215" s="17" t="n">
        <x:v>4365.41</x:v>
      </x:c>
      <x:c r="L215" s="17" t="n">
        <x:v>2910.27</x:v>
      </x:c>
      <x:c r="M215" s="17" t="n">
        <x:v>2182.71</x:v>
      </x:c>
      <x:c r="N215" s="16" t="n">
        <x:v>31</x:v>
      </x:c>
      <x:c r="O215" s="16" t="n">
        <x:v>12</x:v>
      </x:c>
      <x:c r="P215" s="16" t="n">
        <x:v>3</x:v>
      </x:c>
      <x:c r="Q215" s="16" t="n">
        <x:v>35</x:v>
      </x:c>
      <x:c r="R215" s="16" t="n">
        <x:v>22</x:v>
      </x:c>
      <x:c r="S215" s="16" t="n">
        <x:v>6</x:v>
      </x:c>
      <x:c r="T215" s="15" t="n">
        <x:f>YEAR(A215)</x:f>
        <x:v>2024</x:v>
      </x:c>
      <x:c r="U215" s="15" t="n">
        <x:f>ROUNDUP(MONTH(A215)/3,0)</x:f>
        <x:v>2</x:v>
      </x:c>
      <x:c r="V215" s="18" t="n">
        <x:f>I215-J215</x:f>
        <x:v>53973.66</x:v>
      </x:c>
      <x:c r="W215" s="19" t="n">
        <x:f>IF(I215=0,"",V215/I215)</x:f>
        <x:v>0.44510177559402875</x:v>
      </x:c>
      <x:c r="X215" s="18" t="n">
        <x:f>I215-J215-K215-L215-M215</x:f>
        <x:v>44515.270000000004</x:v>
      </x:c>
      <x:c r="Y215" s="19" t="n">
        <x:f>IF(I215=0,"",X215/I215)</x:f>
        <x:v>0.3671017625643249</x:v>
      </x:c>
      <x:c r="Z215" s="18" t="n">
        <x:f>IF(E215=0,"",F215/E215)</x:f>
        <x:v>1164.0038181818181</x:v>
      </x:c>
      <x:c r="AA215" s="18" t="n">
        <x:f>IF(N215=0,"",M215/N215)</x:f>
        <x:v>70.41</x:v>
      </x:c>
      <x:c r="AB215" s="19" t="n">
        <x:f>IF(E215=0,"",O215/E215)</x:f>
        <x:v>0.10909090909090909</x:v>
      </x:c>
      <x:c r="AC215" s="19" t="n">
        <x:f>IF(E215=0,"",P215/E215)</x:f>
        <x:v>0.02727272727272727</x:v>
      </x:c>
      <x:c r="AD215" s="20" t="n">
        <x:f>IF(Q215=0,"",100*(R215-S215)/Q215)</x:f>
        <x:v>45.714285714285715</x:v>
      </x:c>
      <x:c r="AE215" s="19" t="n">
        <x:f>IF(F215=0,"",G215/F215)</x:f>
        <x:v>0.03444443559307287</x:v>
      </x:c>
      <x:c r="AF215" s="18" t="n">
        <x:f>ROUND(I215-(F215-G215-H215),2)</x:f>
        <x:v>0</x:v>
      </x:c>
    </x:row>
    <x:row r="216" ht="24" customHeight="1">
      <x:c r="A216" s="14" t="n">
        <x:v>45444</x:v>
      </x:c>
      <x:c r="B216" s="2" t="str">
        <x:v>Lojas</x:v>
      </x:c>
      <x:c r="C216" s="2" t="str">
        <x:v>Sul</x:v>
      </x:c>
      <x:c r="D216" s="2" t="str">
        <x:v>M-0211</x:v>
      </x:c>
      <x:c r="E216" s="16" t="n">
        <x:v>73</x:v>
      </x:c>
      <x:c r="F216" s="17" t="n">
        <x:v>85266.22</x:v>
      </x:c>
      <x:c r="G216" s="17" t="n">
        <x:v>2936.95</x:v>
      </x:c>
      <x:c r="H216" s="17" t="n">
        <x:v>1577.43</x:v>
      </x:c>
      <x:c r="I216" s="17" t="n">
        <x:v>80751.84</x:v>
      </x:c>
      <x:c r="J216" s="17" t="n">
        <x:v>44223.06</x:v>
      </x:c>
      <x:c r="K216" s="17" t="n">
        <x:v>2907.07</x:v>
      </x:c>
      <x:c r="L216" s="17" t="n">
        <x:v>1938.04</x:v>
      </x:c>
      <x:c r="M216" s="17" t="n">
        <x:v>1453.53</x:v>
      </x:c>
      <x:c r="N216" s="16" t="n">
        <x:v>20</x:v>
      </x:c>
      <x:c r="O216" s="16" t="n">
        <x:v>8</x:v>
      </x:c>
      <x:c r="P216" s="16" t="n">
        <x:v>2</x:v>
      </x:c>
      <x:c r="Q216" s="16" t="n">
        <x:v>23</x:v>
      </x:c>
      <x:c r="R216" s="16" t="n">
        <x:v>15</x:v>
      </x:c>
      <x:c r="S216" s="16" t="n">
        <x:v>4</x:v>
      </x:c>
      <x:c r="T216" s="15" t="n">
        <x:f>YEAR(A216)</x:f>
        <x:v>2024</x:v>
      </x:c>
      <x:c r="U216" s="15" t="n">
        <x:f>ROUNDUP(MONTH(A216)/3,0)</x:f>
        <x:v>2</x:v>
      </x:c>
      <x:c r="V216" s="18" t="n">
        <x:f>I216-J216</x:f>
        <x:v>36528.78</x:v>
      </x:c>
      <x:c r="W216" s="19" t="n">
        <x:f>IF(I216=0,"",V216/I216)</x:f>
        <x:v>0.45235848495836134</x:v>
      </x:c>
      <x:c r="X216" s="18" t="n">
        <x:f>I216-J216-K216-L216-M216</x:f>
        <x:v>30230.14</x:v>
      </x:c>
      <x:c r="Y216" s="19" t="n">
        <x:f>IF(I216=0,"",X216/I216)</x:f>
        <x:v>0.37435852854869933</x:v>
      </x:c>
      <x:c r="Z216" s="18" t="n">
        <x:f>IF(E216=0,"",F216/E216)</x:f>
        <x:v>1168.0304109589042</x:v>
      </x:c>
      <x:c r="AA216" s="18" t="n">
        <x:f>IF(N216=0,"",M216/N216)</x:f>
        <x:v>72.6765</x:v>
      </x:c>
      <x:c r="AB216" s="19" t="n">
        <x:f>IF(E216=0,"",O216/E216)</x:f>
        <x:v>0.1095890410958904</x:v>
      </x:c>
      <x:c r="AC216" s="19" t="n">
        <x:f>IF(E216=0,"",P216/E216)</x:f>
        <x:v>0.0273972602739726</x:v>
      </x:c>
      <x:c r="AD216" s="20" t="n">
        <x:f>IF(Q216=0,"",100*(R216-S216)/Q216)</x:f>
        <x:v>47.82608695652174</x:v>
      </x:c>
      <x:c r="AE216" s="19" t="n">
        <x:f>IF(F216=0,"",G216/F216)</x:f>
        <x:v>0.03444447285220337</x:v>
      </x:c>
      <x:c r="AF216" s="18" t="n">
        <x:f>ROUND(I216-(F216-G216-H216),2)</x:f>
        <x:v>0</x:v>
      </x:c>
    </x:row>
    <x:row r="217" ht="24" customHeight="1">
      <x:c r="A217" s="14" t="n">
        <x:v>45444</x:v>
      </x:c>
      <x:c r="B217" s="2" t="str">
        <x:v>Lojas</x:v>
      </x:c>
      <x:c r="C217" s="2" t="str">
        <x:v>Centro-Oeste</x:v>
      </x:c>
      <x:c r="D217" s="2" t="str">
        <x:v>M-0212</x:v>
      </x:c>
      <x:c r="E217" s="16" t="n">
        <x:v>63</x:v>
      </x:c>
      <x:c r="F217" s="17" t="n">
        <x:v>73468.73</x:v>
      </x:c>
      <x:c r="G217" s="17" t="n">
        <x:v>2530.59</x:v>
      </x:c>
      <x:c r="H217" s="17" t="n">
        <x:v>1359.17</x:v>
      </x:c>
      <x:c r="I217" s="17" t="n">
        <x:v>69578.97</x:v>
      </x:c>
      <x:c r="J217" s="17" t="n">
        <x:v>39396.11</x:v>
      </x:c>
      <x:c r="K217" s="17" t="n">
        <x:v>2504.84</x:v>
      </x:c>
      <x:c r="L217" s="17" t="n">
        <x:v>1669.9</x:v>
      </x:c>
      <x:c r="M217" s="17" t="n">
        <x:v>1252.42</x:v>
      </x:c>
      <x:c r="N217" s="16" t="n">
        <x:v>18</x:v>
      </x:c>
      <x:c r="O217" s="16" t="n">
        <x:v>7</x:v>
      </x:c>
      <x:c r="P217" s="16" t="n">
        <x:v>2</x:v>
      </x:c>
      <x:c r="Q217" s="16" t="n">
        <x:v>20</x:v>
      </x:c>
      <x:c r="R217" s="16" t="n">
        <x:v>13</x:v>
      </x:c>
      <x:c r="S217" s="16" t="n">
        <x:v>3</x:v>
      </x:c>
      <x:c r="T217" s="15" t="n">
        <x:f>YEAR(A217)</x:f>
        <x:v>2024</x:v>
      </x:c>
      <x:c r="U217" s="15" t="n">
        <x:f>ROUNDUP(MONTH(A217)/3,0)</x:f>
        <x:v>2</x:v>
      </x:c>
      <x:c r="V217" s="18" t="n">
        <x:f>I217-J217</x:f>
        <x:v>30182.86</x:v>
      </x:c>
      <x:c r="W217" s="19" t="n">
        <x:f>IF(I217=0,"",V217/I217)</x:f>
        <x:v>0.4337928543638976</x:v>
      </x:c>
      <x:c r="X217" s="18" t="n">
        <x:f>I217-J217-K217-L217-M217</x:f>
        <x:v>24755.699999999997</x:v>
      </x:c>
      <x:c r="Y217" s="19" t="n">
        <x:f>IF(I217=0,"",X217/I217)</x:f>
        <x:v>0.35579284947736356</x:v>
      </x:c>
      <x:c r="Z217" s="18" t="n">
        <x:f>IF(E217=0,"",F217/E217)</x:f>
        <x:v>1166.1703174603174</x:v>
      </x:c>
      <x:c r="AA217" s="18" t="n">
        <x:f>IF(N217=0,"",M217/N217)</x:f>
        <x:v>69.5788888888889</x:v>
      </x:c>
      <x:c r="AB217" s="19" t="n">
        <x:f>IF(E217=0,"",O217/E217)</x:f>
        <x:v>0.1111111111111111</x:v>
      </x:c>
      <x:c r="AC217" s="19" t="n">
        <x:f>IF(E217=0,"",P217/E217)</x:f>
        <x:v>0.031746031746031744</x:v>
      </x:c>
      <x:c r="AD217" s="20" t="n">
        <x:f>IF(Q217=0,"",100*(R217-S217)/Q217)</x:f>
        <x:v>50</x:v>
      </x:c>
      <x:c r="AE217" s="19" t="n">
        <x:f>IF(F217=0,"",G217/F217)</x:f>
        <x:v>0.03444445004017356</x:v>
      </x:c>
      <x:c r="AF217" s="18" t="n">
        <x:f>ROUND(I217-(F217-G217-H217),2)</x:f>
        <x:v>0</x:v>
      </x:c>
    </x:row>
    <x:row r="218" ht="24" customHeight="1">
      <x:c r="A218" s="14" t="n">
        <x:v>45444</x:v>
      </x:c>
      <x:c r="B218" s="2" t="str">
        <x:v>B2B</x:v>
      </x:c>
      <x:c r="C218" s="2" t="str">
        <x:v>Sudeste</x:v>
      </x:c>
      <x:c r="D218" s="2" t="str">
        <x:v>M-0213</x:v>
      </x:c>
      <x:c r="E218" s="16" t="n">
        <x:v>91</x:v>
      </x:c>
      <x:c r="F218" s="17" t="n">
        <x:v>106233.43</x:v>
      </x:c>
      <x:c r="G218" s="17" t="n">
        <x:v>3659.15</x:v>
      </x:c>
      <x:c r="H218" s="17" t="n">
        <x:v>1965.32</x:v>
      </x:c>
      <x:c r="I218" s="17" t="n">
        <x:v>100608.96</x:v>
      </x:c>
      <x:c r="J218" s="17" t="n">
        <x:v>55023.96</x:v>
      </x:c>
      <x:c r="K218" s="17" t="n">
        <x:v>3621.92</x:v>
      </x:c>
      <x:c r="L218" s="17" t="n">
        <x:v>2414.62</x:v>
      </x:c>
      <x:c r="M218" s="17" t="n">
        <x:v>1810.96</x:v>
      </x:c>
      <x:c r="N218" s="16" t="n">
        <x:v>25</x:v>
      </x:c>
      <x:c r="O218" s="16" t="n">
        <x:v>10</x:v>
      </x:c>
      <x:c r="P218" s="16" t="n">
        <x:v>2</x:v>
      </x:c>
      <x:c r="Q218" s="16" t="n">
        <x:v>29</x:v>
      </x:c>
      <x:c r="R218" s="16" t="n">
        <x:v>19</x:v>
      </x:c>
      <x:c r="S218" s="16" t="n">
        <x:v>5</x:v>
      </x:c>
      <x:c r="T218" s="15" t="n">
        <x:f>YEAR(A218)</x:f>
        <x:v>2024</x:v>
      </x:c>
      <x:c r="U218" s="15" t="n">
        <x:f>ROUNDUP(MONTH(A218)/3,0)</x:f>
        <x:v>2</x:v>
      </x:c>
      <x:c r="V218" s="18" t="n">
        <x:f>I218-J218</x:f>
        <x:v>45585.00000000001</x:v>
      </x:c>
      <x:c r="W218" s="19" t="n">
        <x:f>IF(I218=0,"",V218/I218)</x:f>
        <x:v>0.4530908579116612</x:v>
      </x:c>
      <x:c r="X218" s="18" t="n">
        <x:f>I218-J218-K218-L218-M218</x:f>
        <x:v>37737.50000000001</x:v>
      </x:c>
      <x:c r="Y218" s="19" t="n">
        <x:f>IF(I218=0,"",X218/I218)</x:f>
        <x:v>0.3750908467794519</x:v>
      </x:c>
      <x:c r="Z218" s="18" t="n">
        <x:f>IF(E218=0,"",F218/E218)</x:f>
        <x:v>1167.4003296703295</x:v>
      </x:c>
      <x:c r="AA218" s="18" t="n">
        <x:f>IF(N218=0,"",M218/N218)</x:f>
        <x:v>72.4384</x:v>
      </x:c>
      <x:c r="AB218" s="19" t="n">
        <x:f>IF(E218=0,"",O218/E218)</x:f>
        <x:v>0.10989010989010989</x:v>
      </x:c>
      <x:c r="AC218" s="19" t="n">
        <x:f>IF(E218=0,"",P218/E218)</x:f>
        <x:v>0.02197802197802198</x:v>
      </x:c>
      <x:c r="AD218" s="20" t="n">
        <x:f>IF(Q218=0,"",100*(R218-S218)/Q218)</x:f>
        <x:v>48.275862068965516</x:v>
      </x:c>
      <x:c r="AE218" s="19" t="n">
        <x:f>IF(F218=0,"",G218/F218)</x:f>
        <x:v>0.034444430533778304</x:v>
      </x:c>
      <x:c r="AF218" s="18" t="n">
        <x:f>ROUND(I218-(F218-G218-H218),2)</x:f>
        <x:v>0</x:v>
      </x:c>
    </x:row>
    <x:row r="219" ht="24" customHeight="1">
      <x:c r="A219" s="14" t="n">
        <x:v>45444</x:v>
      </x:c>
      <x:c r="B219" s="2" t="str">
        <x:v>B2B</x:v>
      </x:c>
      <x:c r="C219" s="2" t="str">
        <x:v>Nordeste</x:v>
      </x:c>
      <x:c r="D219" s="2" t="str">
        <x:v>M-0214</x:v>
      </x:c>
      <x:c r="E219" s="16" t="n">
        <x:v>56</x:v>
      </x:c>
      <x:c r="F219" s="17" t="n">
        <x:v>65114.45</x:v>
      </x:c>
      <x:c r="G219" s="17" t="n">
        <x:v>2242.83</x:v>
      </x:c>
      <x:c r="H219" s="17" t="n">
        <x:v>1204.62</x:v>
      </x:c>
      <x:c r="I219" s="17" t="n">
        <x:v>61667</x:v>
      </x:c>
      <x:c r="J219" s="17" t="n">
        <x:v>34293.7</x:v>
      </x:c>
      <x:c r="K219" s="17" t="n">
        <x:v>2220.01</x:v>
      </x:c>
      <x:c r="L219" s="17" t="n">
        <x:v>1480.01</x:v>
      </x:c>
      <x:c r="M219" s="17" t="n">
        <x:v>1110.01</x:v>
      </x:c>
      <x:c r="N219" s="16" t="n">
        <x:v>16</x:v>
      </x:c>
      <x:c r="O219" s="16" t="n">
        <x:v>6</x:v>
      </x:c>
      <x:c r="P219" s="16" t="n">
        <x:v>1</x:v>
      </x:c>
      <x:c r="Q219" s="16" t="n">
        <x:v>18</x:v>
      </x:c>
      <x:c r="R219" s="16" t="n">
        <x:v>11</x:v>
      </x:c>
      <x:c r="S219" s="16" t="n">
        <x:v>3</x:v>
      </x:c>
      <x:c r="T219" s="15" t="n">
        <x:f>YEAR(A219)</x:f>
        <x:v>2024</x:v>
      </x:c>
      <x:c r="U219" s="15" t="n">
        <x:f>ROUNDUP(MONTH(A219)/3,0)</x:f>
        <x:v>2</x:v>
      </x:c>
      <x:c r="V219" s="18" t="n">
        <x:f>I219-J219</x:f>
        <x:v>27373.300000000003</x:v>
      </x:c>
      <x:c r="W219" s="19" t="n">
        <x:f>IF(I219=0,"",V219/I219)</x:f>
        <x:v>0.4438889519516111</x:v>
      </x:c>
      <x:c r="X219" s="18" t="n">
        <x:f>I219-J219-K219-L219-M219</x:f>
        <x:v>22563.270000000004</x:v>
      </x:c>
      <x:c r="Y219" s="19" t="n">
        <x:f>IF(I219=0,"",X219/I219)</x:f>
        <x:v>0.3658888870870969</x:v>
      </x:c>
      <x:c r="Z219" s="18" t="n">
        <x:f>IF(E219=0,"",F219/E219)</x:f>
        <x:v>1162.7580357142856</x:v>
      </x:c>
      <x:c r="AA219" s="18" t="n">
        <x:f>IF(N219=0,"",M219/N219)</x:f>
        <x:v>69.375625</x:v>
      </x:c>
      <x:c r="AB219" s="19" t="n">
        <x:f>IF(E219=0,"",O219/E219)</x:f>
        <x:v>0.10714285714285714</x:v>
      </x:c>
      <x:c r="AC219" s="19" t="n">
        <x:f>IF(E219=0,"",P219/E219)</x:f>
        <x:v>0.017857142857142856</x:v>
      </x:c>
      <x:c r="AD219" s="20" t="n">
        <x:f>IF(Q219=0,"",100*(R219-S219)/Q219)</x:f>
        <x:v>44.44444444444444</x:v>
      </x:c>
      <x:c r="AE219" s="19" t="n">
        <x:f>IF(F219=0,"",G219/F219)</x:f>
        <x:v>0.03444442823367164</x:v>
      </x:c>
      <x:c r="AF219" s="18" t="n">
        <x:f>ROUND(I219-(F219-G219-H219),2)</x:f>
        <x:v>0</x:v>
      </x:c>
    </x:row>
    <x:row r="220" ht="24" customHeight="1">
      <x:c r="A220" s="14" t="n">
        <x:v>45444</x:v>
      </x:c>
      <x:c r="B220" s="2" t="str">
        <x:v>B2B</x:v>
      </x:c>
      <x:c r="C220" s="2" t="str">
        <x:v>Sul</x:v>
      </x:c>
      <x:c r="D220" s="2" t="str">
        <x:v>M-0215</x:v>
      </x:c>
      <x:c r="E220" s="16" t="n">
        <x:v>53</x:v>
      </x:c>
      <x:c r="F220" s="17" t="n">
        <x:v>61587.76</x:v>
      </x:c>
      <x:c r="G220" s="17" t="n">
        <x:v>2121.36</x:v>
      </x:c>
      <x:c r="H220" s="17" t="n">
        <x:v>1139.37</x:v>
      </x:c>
      <x:c r="I220" s="17" t="n">
        <x:v>58327.03</x:v>
      </x:c>
      <x:c r="J220" s="17" t="n">
        <x:v>34299.48</x:v>
      </x:c>
      <x:c r="K220" s="17" t="n">
        <x:v>2099.77</x:v>
      </x:c>
      <x:c r="L220" s="17" t="n">
        <x:v>1399.85</x:v>
      </x:c>
      <x:c r="M220" s="17" t="n">
        <x:v>1049.89</x:v>
      </x:c>
      <x:c r="N220" s="16" t="n">
        <x:v>15</x:v>
      </x:c>
      <x:c r="O220" s="16" t="n">
        <x:v>6</x:v>
      </x:c>
      <x:c r="P220" s="16" t="n">
        <x:v>1</x:v>
      </x:c>
      <x:c r="Q220" s="16" t="n">
        <x:v>17</x:v>
      </x:c>
      <x:c r="R220" s="16" t="n">
        <x:v>11</x:v>
      </x:c>
      <x:c r="S220" s="16" t="n">
        <x:v>3</x:v>
      </x:c>
      <x:c r="T220" s="15" t="n">
        <x:f>YEAR(A220)</x:f>
        <x:v>2024</x:v>
      </x:c>
      <x:c r="U220" s="15" t="n">
        <x:f>ROUNDUP(MONTH(A220)/3,0)</x:f>
        <x:v>2</x:v>
      </x:c>
      <x:c r="V220" s="18" t="n">
        <x:f>I220-J220</x:f>
        <x:v>24027.549999999996</x:v>
      </x:c>
      <x:c r="W220" s="19" t="n">
        <x:f>IF(I220=0,"",V220/I220)</x:f>
        <x:v>0.4119453707826371</x:v>
      </x:c>
      <x:c r="X220" s="18" t="n">
        <x:f>I220-J220-K220-L220-M220</x:f>
        <x:v>19478.039999999997</x:v>
      </x:c>
      <x:c r="Y220" s="19" t="n">
        <x:f>IF(I220=0,"",X220/I220)</x:f>
        <x:v>0.3339453423224189</x:v>
      </x:c>
      <x:c r="Z220" s="18" t="n">
        <x:f>IF(E220=0,"",F220/E220)</x:f>
        <x:v>1162.03320754717</x:v>
      </x:c>
      <x:c r="AA220" s="18" t="n">
        <x:f>IF(N220=0,"",M220/N220)</x:f>
        <x:v>69.99266666666668</x:v>
      </x:c>
      <x:c r="AB220" s="19" t="n">
        <x:f>IF(E220=0,"",O220/E220)</x:f>
        <x:v>0.11320754716981132</x:v>
      </x:c>
      <x:c r="AC220" s="19" t="n">
        <x:f>IF(E220=0,"",P220/E220)</x:f>
        <x:v>0.018867924528301886</x:v>
      </x:c>
      <x:c r="AD220" s="20" t="n">
        <x:f>IF(Q220=0,"",100*(R220-S220)/Q220)</x:f>
        <x:v>47.05882352941177</x:v>
      </x:c>
      <x:c r="AE220" s="19" t="n">
        <x:f>IF(F220=0,"",G220/F220)</x:f>
        <x:v>0.03444450650583818</x:v>
      </x:c>
      <x:c r="AF220" s="18" t="n">
        <x:f>ROUND(I220-(F220-G220-H220),2)</x:f>
        <x:v>0</x:v>
      </x:c>
    </x:row>
    <x:row r="221" ht="24" customHeight="1">
      <x:c r="A221" s="14" t="n">
        <x:v>45444</x:v>
      </x:c>
      <x:c r="B221" s="2" t="str">
        <x:v>B2B</x:v>
      </x:c>
      <x:c r="C221" s="2" t="str">
        <x:v>Centro-Oeste</x:v>
      </x:c>
      <x:c r="D221" s="2" t="str">
        <x:v>M-0216</x:v>
      </x:c>
      <x:c r="E221" s="16" t="n">
        <x:v>44</x:v>
      </x:c>
      <x:c r="F221" s="17" t="n">
        <x:v>51612.12</x:v>
      </x:c>
      <x:c r="G221" s="17" t="n">
        <x:v>1777.75</x:v>
      </x:c>
      <x:c r="H221" s="17" t="n">
        <x:v>954.82</x:v>
      </x:c>
      <x:c r="I221" s="17" t="n">
        <x:v>48879.55</x:v>
      </x:c>
      <x:c r="J221" s="17" t="n">
        <x:v>28759</x:v>
      </x:c>
      <x:c r="K221" s="17" t="n">
        <x:v>1759.66</x:v>
      </x:c>
      <x:c r="L221" s="17" t="n">
        <x:v>1173.11</x:v>
      </x:c>
      <x:c r="M221" s="17" t="n">
        <x:v>879.83</x:v>
      </x:c>
      <x:c r="N221" s="16" t="n">
        <x:v>12</x:v>
      </x:c>
      <x:c r="O221" s="16" t="n">
        <x:v>5</x:v>
      </x:c>
      <x:c r="P221" s="16" t="n">
        <x:v>1</x:v>
      </x:c>
      <x:c r="Q221" s="16" t="n">
        <x:v>14</x:v>
      </x:c>
      <x:c r="R221" s="16" t="n">
        <x:v>9</x:v>
      </x:c>
      <x:c r="S221" s="16" t="n">
        <x:v>2</x:v>
      </x:c>
      <x:c r="T221" s="15" t="n">
        <x:f>YEAR(A221)</x:f>
        <x:v>2024</x:v>
      </x:c>
      <x:c r="U221" s="15" t="n">
        <x:f>ROUNDUP(MONTH(A221)/3,0)</x:f>
        <x:v>2</x:v>
      </x:c>
      <x:c r="V221" s="18" t="n">
        <x:f>I221-J221</x:f>
        <x:v>20120.550000000003</x:v>
      </x:c>
      <x:c r="W221" s="19" t="n">
        <x:f>IF(I221=0,"",V221/I221)</x:f>
        <x:v>0.4116353362500269</x:v>
      </x:c>
      <x:c r="X221" s="18" t="n">
        <x:f>I221-J221-K221-L221-M221</x:f>
        <x:v>16307.950000000003</x:v>
      </x:c>
      <x:c r="Y221" s="19" t="n">
        <x:f>IF(I221=0,"",X221/I221)</x:f>
        <x:v>0.33363543649644894</x:v>
      </x:c>
      <x:c r="Z221" s="18" t="n">
        <x:f>IF(E221=0,"",F221/E221)</x:f>
        <x:v>1173.0027272727273</x:v>
      </x:c>
      <x:c r="AA221" s="18" t="n">
        <x:f>IF(N221=0,"",M221/N221)</x:f>
        <x:v>73.31916666666667</x:v>
      </x:c>
      <x:c r="AB221" s="19" t="n">
        <x:f>IF(E221=0,"",O221/E221)</x:f>
        <x:v>0.11363636363636363</x:v>
      </x:c>
      <x:c r="AC221" s="19" t="n">
        <x:f>IF(E221=0,"",P221/E221)</x:f>
        <x:v>0.022727272727272728</x:v>
      </x:c>
      <x:c r="AD221" s="20" t="n">
        <x:f>IF(Q221=0,"",100*(R221-S221)/Q221)</x:f>
        <x:v>50</x:v>
      </x:c>
      <x:c r="AE221" s="19" t="n">
        <x:f>IF(F221=0,"",G221/F221)</x:f>
        <x:v>0.034444428944209224</x:v>
      </x:c>
      <x:c r="AF221" s="18" t="n">
        <x:f>ROUND(I221-(F221-G221-H221),2)</x:f>
        <x:v>0</x:v>
      </x:c>
    </x:row>
    <x:row r="222" ht="24" customHeight="1">
      <x:c r="A222" s="14" t="n">
        <x:v>45474</x:v>
      </x:c>
      <x:c r="B222" s="2" t="str">
        <x:v>E-commerce</x:v>
      </x:c>
      <x:c r="C222" s="2" t="str">
        <x:v>Sudeste</x:v>
      </x:c>
      <x:c r="D222" s="2" t="str">
        <x:v>M-0217</x:v>
      </x:c>
      <x:c r="E222" s="16" t="n">
        <x:v>181</x:v>
      </x:c>
      <x:c r="F222" s="17" t="n">
        <x:v>210208.51</x:v>
      </x:c>
      <x:c r="G222" s="17" t="n">
        <x:v>7357.3</x:v>
      </x:c>
      <x:c r="H222" s="17" t="n">
        <x:v>3993.96</x:v>
      </x:c>
      <x:c r="I222" s="17" t="n">
        <x:v>198857.25</x:v>
      </x:c>
      <x:c r="J222" s="17" t="n">
        <x:v>114598.55</x:v>
      </x:c>
      <x:c r="K222" s="17" t="n">
        <x:v>11533.72</x:v>
      </x:c>
      <x:c r="L222" s="17" t="n">
        <x:v>4772.57</x:v>
      </x:c>
      <x:c r="M222" s="17" t="n">
        <x:v>14914.29</x:v>
      </x:c>
      <x:c r="N222" s="16" t="n">
        <x:v>94</x:v>
      </x:c>
      <x:c r="O222" s="16" t="n">
        <x:v>20</x:v>
      </x:c>
      <x:c r="P222" s="16" t="n">
        <x:v>5</x:v>
      </x:c>
      <x:c r="Q222" s="16" t="n">
        <x:v>58</x:v>
      </x:c>
      <x:c r="R222" s="16" t="n">
        <x:v>37</x:v>
      </x:c>
      <x:c r="S222" s="16" t="n">
        <x:v>10</x:v>
      </x:c>
      <x:c r="T222" s="15" t="n">
        <x:f>YEAR(A222)</x:f>
        <x:v>2024</x:v>
      </x:c>
      <x:c r="U222" s="15" t="n">
        <x:f>ROUNDUP(MONTH(A222)/3,0)</x:f>
        <x:v>3</x:v>
      </x:c>
      <x:c r="V222" s="18" t="n">
        <x:f>I222-J222</x:f>
        <x:v>84258.7</x:v>
      </x:c>
      <x:c r="W222" s="19" t="n">
        <x:f>IF(I222=0,"",V222/I222)</x:f>
        <x:v>0.4237144987170445</x:v>
      </x:c>
      <x:c r="X222" s="18" t="n">
        <x:f>I222-J222-K222-L222-M222</x:f>
        <x:v>53038.12</x:v>
      </x:c>
      <x:c r="Y222" s="19" t="n">
        <x:f>IF(I222=0,"",X222/I222)</x:f>
        <x:v>0.26671454020409113</x:v>
      </x:c>
      <x:c r="Z222" s="18" t="n">
        <x:f>IF(E222=0,"",F222/E222)</x:f>
        <x:v>1161.3729834254143</x:v>
      </x:c>
      <x:c r="AA222" s="18" t="n">
        <x:f>IF(N222=0,"",M222/N222)</x:f>
        <x:v>158.6626595744681</x:v>
      </x:c>
      <x:c r="AB222" s="19" t="n">
        <x:f>IF(E222=0,"",O222/E222)</x:f>
        <x:v>0.11049723756906077</x:v>
      </x:c>
      <x:c r="AC222" s="19" t="n">
        <x:f>IF(E222=0,"",P222/E222)</x:f>
        <x:v>0.027624309392265192</x:v>
      </x:c>
      <x:c r="AD222" s="20" t="n">
        <x:f>IF(Q222=0,"",100*(R222-S222)/Q222)</x:f>
        <x:v>46.55172413793103</x:v>
      </x:c>
      <x:c r="AE222" s="19" t="n">
        <x:f>IF(F222=0,"",G222/F222)</x:f>
        <x:v>0.035000010227939866</x:v>
      </x:c>
      <x:c r="AF222" s="18" t="n">
        <x:f>ROUND(I222-(F222-G222-H222),2)</x:f>
        <x:v>0</x:v>
      </x:c>
    </x:row>
    <x:row r="223" ht="24" customHeight="1">
      <x:c r="A223" s="14" t="n">
        <x:v>45474</x:v>
      </x:c>
      <x:c r="B223" s="2" t="str">
        <x:v>E-commerce</x:v>
      </x:c>
      <x:c r="C223" s="2" t="str">
        <x:v>Nordeste</x:v>
      </x:c>
      <x:c r="D223" s="2" t="str">
        <x:v>M-0218</x:v>
      </x:c>
      <x:c r="E223" s="16" t="n">
        <x:v>119</x:v>
      </x:c>
      <x:c r="F223" s="17" t="n">
        <x:v>137914.03</x:v>
      </x:c>
      <x:c r="G223" s="17" t="n">
        <x:v>4826.99</x:v>
      </x:c>
      <x:c r="H223" s="17" t="n">
        <x:v>2620.37</x:v>
      </x:c>
      <x:c r="I223" s="17" t="n">
        <x:v>130466.67</x:v>
      </x:c>
      <x:c r="J223" s="17" t="n">
        <x:v>74697.76</x:v>
      </x:c>
      <x:c r="K223" s="17" t="n">
        <x:v>7567.07</x:v>
      </x:c>
      <x:c r="L223" s="17" t="n">
        <x:v>3131.2</x:v>
      </x:c>
      <x:c r="M223" s="17" t="n">
        <x:v>9785</x:v>
      </x:c>
      <x:c r="N223" s="16" t="n">
        <x:v>62</x:v>
      </x:c>
      <x:c r="O223" s="16" t="n">
        <x:v>13</x:v>
      </x:c>
      <x:c r="P223" s="16" t="n">
        <x:v>3</x:v>
      </x:c>
      <x:c r="Q223" s="16" t="n">
        <x:v>38</x:v>
      </x:c>
      <x:c r="R223" s="16" t="n">
        <x:v>24</x:v>
      </x:c>
      <x:c r="S223" s="16" t="n">
        <x:v>7</x:v>
      </x:c>
      <x:c r="T223" s="15" t="n">
        <x:f>YEAR(A223)</x:f>
        <x:v>2024</x:v>
      </x:c>
      <x:c r="U223" s="15" t="n">
        <x:f>ROUNDUP(MONTH(A223)/3,0)</x:f>
        <x:v>3</x:v>
      </x:c>
      <x:c r="V223" s="18" t="n">
        <x:f>I223-J223</x:f>
        <x:v>55768.91</x:v>
      </x:c>
      <x:c r="W223" s="19" t="n">
        <x:f>IF(I223=0,"",V223/I223)</x:f>
        <x:v>0.4274571428856121</x:v>
      </x:c>
      <x:c r="X223" s="18" t="n">
        <x:f>I223-J223-K223-L223-M223</x:f>
        <x:v>35285.64000000001</x:v>
      </x:c>
      <x:c r="Y223" s="19" t="n">
        <x:f>IF(I223=0,"",X223/I223)</x:f>
        <x:v>0.27045712134754424</x:v>
      </x:c>
      <x:c r="Z223" s="18" t="n">
        <x:f>IF(E223=0,"",F223/E223)</x:f>
        <x:v>1158.9414285714286</x:v>
      </x:c>
      <x:c r="AA223" s="18" t="n">
        <x:f>IF(N223=0,"",M223/N223)</x:f>
        <x:v>157.82258064516128</x:v>
      </x:c>
      <x:c r="AB223" s="19" t="n">
        <x:f>IF(E223=0,"",O223/E223)</x:f>
        <x:v>0.1092436974789916</x:v>
      </x:c>
      <x:c r="AC223" s="19" t="n">
        <x:f>IF(E223=0,"",P223/E223)</x:f>
        <x:v>0.025210084033613446</x:v>
      </x:c>
      <x:c r="AD223" s="20" t="n">
        <x:f>IF(Q223=0,"",100*(R223-S223)/Q223)</x:f>
        <x:v>44.73684210526316</x:v>
      </x:c>
      <x:c r="AE223" s="19" t="n">
        <x:f>IF(F223=0,"",G223/F223)</x:f>
        <x:v>0.034999992386561395</x:v>
      </x:c>
      <x:c r="AF223" s="18" t="n">
        <x:f>ROUND(I223-(F223-G223-H223),2)</x:f>
        <x:v>0</x:v>
      </x:c>
    </x:row>
    <x:row r="224" ht="24" customHeight="1">
      <x:c r="A224" s="14" t="n">
        <x:v>45474</x:v>
      </x:c>
      <x:c r="B224" s="2" t="str">
        <x:v>E-commerce</x:v>
      </x:c>
      <x:c r="C224" s="2" t="str">
        <x:v>Sul</x:v>
      </x:c>
      <x:c r="D224" s="2" t="str">
        <x:v>M-0219</x:v>
      </x:c>
      <x:c r="E224" s="16" t="n">
        <x:v>104</x:v>
      </x:c>
      <x:c r="F224" s="17" t="n">
        <x:v>120695.43</x:v>
      </x:c>
      <x:c r="G224" s="17" t="n">
        <x:v>4224.34</x:v>
      </x:c>
      <x:c r="H224" s="17" t="n">
        <x:v>2293.21</x:v>
      </x:c>
      <x:c r="I224" s="17" t="n">
        <x:v>114177.88</x:v>
      </x:c>
      <x:c r="J224" s="17" t="n">
        <x:v>67047.16</x:v>
      </x:c>
      <x:c r="K224" s="17" t="n">
        <x:v>6622.32</x:v>
      </x:c>
      <x:c r="L224" s="17" t="n">
        <x:v>2740.27</x:v>
      </x:c>
      <x:c r="M224" s="17" t="n">
        <x:v>8563.34</x:v>
      </x:c>
      <x:c r="N224" s="16" t="n">
        <x:v>54</x:v>
      </x:c>
      <x:c r="O224" s="16" t="n">
        <x:v>12</x:v>
      </x:c>
      <x:c r="P224" s="16" t="n">
        <x:v>3</x:v>
      </x:c>
      <x:c r="Q224" s="16" t="n">
        <x:v>33</x:v>
      </x:c>
      <x:c r="R224" s="16" t="n">
        <x:v>21</x:v>
      </x:c>
      <x:c r="S224" s="16" t="n">
        <x:v>6</x:v>
      </x:c>
      <x:c r="T224" s="15" t="n">
        <x:f>YEAR(A224)</x:f>
        <x:v>2024</x:v>
      </x:c>
      <x:c r="U224" s="15" t="n">
        <x:f>ROUNDUP(MONTH(A224)/3,0)</x:f>
        <x:v>3</x:v>
      </x:c>
      <x:c r="V224" s="18" t="n">
        <x:f>I224-J224</x:f>
        <x:v>47130.72</x:v>
      </x:c>
      <x:c r="W224" s="19" t="n">
        <x:f>IF(I224=0,"",V224/I224)</x:f>
        <x:v>0.4127832816654154</x:v>
      </x:c>
      <x:c r="X224" s="18" t="n">
        <x:f>I224-J224-K224-L224-M224</x:f>
        <x:v>29204.790000000005</x:v>
      </x:c>
      <x:c r="Y224" s="19" t="n">
        <x:f>IF(I224=0,"",X224/I224)</x:f>
        <x:v>0.2557832567919461</x:v>
      </x:c>
      <x:c r="Z224" s="18" t="n">
        <x:f>IF(E224=0,"",F224/E224)</x:f>
        <x:v>1160.5329807692308</x:v>
      </x:c>
      <x:c r="AA224" s="18" t="n">
        <x:f>IF(N224=0,"",M224/N224)</x:f>
        <x:v>158.58037037037036</x:v>
      </x:c>
      <x:c r="AB224" s="19" t="n">
        <x:f>IF(E224=0,"",O224/E224)</x:f>
        <x:v>0.11538461538461539</x:v>
      </x:c>
      <x:c r="AC224" s="19" t="n">
        <x:f>IF(E224=0,"",P224/E224)</x:f>
        <x:v>0.028846153846153848</x:v>
      </x:c>
      <x:c r="AD224" s="20" t="n">
        <x:f>IF(Q224=0,"",100*(R224-S224)/Q224)</x:f>
        <x:v>45.45454545454545</x:v>
      </x:c>
      <x:c r="AE224" s="19" t="n">
        <x:f>IF(F224=0,"",G224/F224)</x:f>
        <x:v>0.03499999958573411</x:v>
      </x:c>
      <x:c r="AF224" s="18" t="n">
        <x:f>ROUND(I224-(F224-G224-H224),2)</x:f>
        <x:v>0</x:v>
      </x:c>
    </x:row>
    <x:row r="225" ht="24" customHeight="1">
      <x:c r="A225" s="14" t="n">
        <x:v>45474</x:v>
      </x:c>
      <x:c r="B225" s="2" t="str">
        <x:v>E-commerce</x:v>
      </x:c>
      <x:c r="C225" s="2" t="str">
        <x:v>Centro-Oeste</x:v>
      </x:c>
      <x:c r="D225" s="2" t="str">
        <x:v>M-0220</x:v>
      </x:c>
      <x:c r="E225" s="16" t="n">
        <x:v>75</x:v>
      </x:c>
      <x:c r="F225" s="17" t="n">
        <x:v>87029.34</x:v>
      </x:c>
      <x:c r="G225" s="17" t="n">
        <x:v>3046.03</x:v>
      </x:c>
      <x:c r="H225" s="17" t="n">
        <x:v>1653.56</x:v>
      </x:c>
      <x:c r="I225" s="17" t="n">
        <x:v>82329.75</x:v>
      </x:c>
      <x:c r="J225" s="17" t="n">
        <x:v>49101.44</x:v>
      </x:c>
      <x:c r="K225" s="17" t="n">
        <x:v>4775.13</x:v>
      </x:c>
      <x:c r="L225" s="17" t="n">
        <x:v>1975.91</x:v>
      </x:c>
      <x:c r="M225" s="17" t="n">
        <x:v>6174.73</x:v>
      </x:c>
      <x:c r="N225" s="16" t="n">
        <x:v>39</x:v>
      </x:c>
      <x:c r="O225" s="16" t="n">
        <x:v>8</x:v>
      </x:c>
      <x:c r="P225" s="16" t="n">
        <x:v>2</x:v>
      </x:c>
      <x:c r="Q225" s="16" t="n">
        <x:v>24</x:v>
      </x:c>
      <x:c r="R225" s="16" t="n">
        <x:v>15</x:v>
      </x:c>
      <x:c r="S225" s="16" t="n">
        <x:v>4</x:v>
      </x:c>
      <x:c r="T225" s="15" t="n">
        <x:f>YEAR(A225)</x:f>
        <x:v>2024</x:v>
      </x:c>
      <x:c r="U225" s="15" t="n">
        <x:f>ROUNDUP(MONTH(A225)/3,0)</x:f>
        <x:v>3</x:v>
      </x:c>
      <x:c r="V225" s="18" t="n">
        <x:f>I225-J225</x:f>
        <x:v>33228.31</x:v>
      </x:c>
      <x:c r="W225" s="19" t="n">
        <x:f>IF(I225=0,"",V225/I225)</x:f>
        <x:v>0.4036002781497575</x:v>
      </x:c>
      <x:c r="X225" s="18" t="n">
        <x:f>I225-J225-K225-L225-M225</x:f>
        <x:v>20302.539999999997</x:v>
      </x:c>
      <x:c r="Y225" s="19" t="n">
        <x:f>IF(I225=0,"",X225/I225)</x:f>
        <x:v>0.2466002872594657</x:v>
      </x:c>
      <x:c r="Z225" s="18" t="n">
        <x:f>IF(E225=0,"",F225/E225)</x:f>
        <x:v>1160.3912</x:v>
      </x:c>
      <x:c r="AA225" s="18" t="n">
        <x:f>IF(N225=0,"",M225/N225)</x:f>
        <x:v>158.32641025641024</x:v>
      </x:c>
      <x:c r="AB225" s="19" t="n">
        <x:f>IF(E225=0,"",O225/E225)</x:f>
        <x:v>0.10666666666666667</x:v>
      </x:c>
      <x:c r="AC225" s="19" t="n">
        <x:f>IF(E225=0,"",P225/E225)</x:f>
        <x:v>0.02666666666666667</x:v>
      </x:c>
      <x:c r="AD225" s="20" t="n">
        <x:f>IF(Q225=0,"",100*(R225-S225)/Q225)</x:f>
        <x:v>45.833333333333336</x:v>
      </x:c>
      <x:c r="AE225" s="19" t="n">
        <x:f>IF(F225=0,"",G225/F225)</x:f>
        <x:v>0.035000035620171316</x:v>
      </x:c>
      <x:c r="AF225" s="18" t="n">
        <x:f>ROUND(I225-(F225-G225-H225),2)</x:f>
        <x:v>0</x:v>
      </x:c>
    </x:row>
    <x:row r="226" ht="24" customHeight="1">
      <x:c r="A226" s="14" t="n">
        <x:v>45474</x:v>
      </x:c>
      <x:c r="B226" s="2" t="str">
        <x:v>Lojas</x:v>
      </x:c>
      <x:c r="C226" s="2" t="str">
        <x:v>Sudeste</x:v>
      </x:c>
      <x:c r="D226" s="2" t="str">
        <x:v>M-0221</x:v>
      </x:c>
      <x:c r="E226" s="16" t="n">
        <x:v>134</x:v>
      </x:c>
      <x:c r="F226" s="17" t="n">
        <x:v>155739.6</x:v>
      </x:c>
      <x:c r="G226" s="17" t="n">
        <x:v>5450.89</x:v>
      </x:c>
      <x:c r="H226" s="17" t="n">
        <x:v>2959.05</x:v>
      </x:c>
      <x:c r="I226" s="17" t="n">
        <x:v>147329.66</x:v>
      </x:c>
      <x:c r="J226" s="17" t="n">
        <x:v>88046.45</x:v>
      </x:c>
      <x:c r="K226" s="17" t="n">
        <x:v>5451.2</x:v>
      </x:c>
      <x:c r="L226" s="17" t="n">
        <x:v>3535.91</x:v>
      </x:c>
      <x:c r="M226" s="17" t="n">
        <x:v>2651.93</x:v>
      </x:c>
      <x:c r="N226" s="16" t="n">
        <x:v>38</x:v>
      </x:c>
      <x:c r="O226" s="16" t="n">
        <x:v>15</x:v>
      </x:c>
      <x:c r="P226" s="16" t="n">
        <x:v>4</x:v>
      </x:c>
      <x:c r="Q226" s="16" t="n">
        <x:v>43</x:v>
      </x:c>
      <x:c r="R226" s="16" t="n">
        <x:v>27</x:v>
      </x:c>
      <x:c r="S226" s="16" t="n">
        <x:v>7</x:v>
      </x:c>
      <x:c r="T226" s="15" t="n">
        <x:f>YEAR(A226)</x:f>
        <x:v>2024</x:v>
      </x:c>
      <x:c r="U226" s="15" t="n">
        <x:f>ROUNDUP(MONTH(A226)/3,0)</x:f>
        <x:v>3</x:v>
      </x:c>
      <x:c r="V226" s="18" t="n">
        <x:f>I226-J226</x:f>
        <x:v>59283.21000000001</x:v>
      </x:c>
      <x:c r="W226" s="19" t="n">
        <x:f>IF(I226=0,"",V226/I226)</x:f>
        <x:v>0.4023847608146249</x:v>
      </x:c>
      <x:c r="X226" s="18" t="n">
        <x:f>I226-J226-K226-L226-M226</x:f>
        <x:v>47644.170000000006</x:v>
      </x:c>
      <x:c r="Y226" s="19" t="n">
        <x:f>IF(I226=0,"",X226/I226)</x:f>
        <x:v>0.3233847821273734</x:v>
      </x:c>
      <x:c r="Z226" s="18" t="n">
        <x:f>IF(E226=0,"",F226/E226)</x:f>
        <x:v>1162.2358208955225</x:v>
      </x:c>
      <x:c r="AA226" s="18" t="n">
        <x:f>IF(N226=0,"",M226/N226)</x:f>
        <x:v>69.78763157894737</x:v>
      </x:c>
      <x:c r="AB226" s="19" t="n">
        <x:f>IF(E226=0,"",O226/E226)</x:f>
        <x:v>0.11194029850746269</x:v>
      </x:c>
      <x:c r="AC226" s="19" t="n">
        <x:f>IF(E226=0,"",P226/E226)</x:f>
        <x:v>0.029850746268656716</x:v>
      </x:c>
      <x:c r="AD226" s="20" t="n">
        <x:f>IF(Q226=0,"",100*(R226-S226)/Q226)</x:f>
        <x:v>46.51162790697674</x:v>
      </x:c>
      <x:c r="AE226" s="19" t="n">
        <x:f>IF(F226=0,"",G226/F226)</x:f>
        <x:v>0.035000025683898</x:v>
      </x:c>
      <x:c r="AF226" s="18" t="n">
        <x:f>ROUND(I226-(F226-G226-H226),2)</x:f>
        <x:v>0</x:v>
      </x:c>
    </x:row>
    <x:row r="227" ht="24" customHeight="1">
      <x:c r="A227" s="14" t="n">
        <x:v>45474</x:v>
      </x:c>
      <x:c r="B227" s="2" t="str">
        <x:v>Lojas</x:v>
      </x:c>
      <x:c r="C227" s="2" t="str">
        <x:v>Nordeste</x:v>
      </x:c>
      <x:c r="D227" s="2" t="str">
        <x:v>M-0222</x:v>
      </x:c>
      <x:c r="E227" s="16" t="n">
        <x:v>107</x:v>
      </x:c>
      <x:c r="F227" s="17" t="n">
        <x:v>124603.06</x:v>
      </x:c>
      <x:c r="G227" s="17" t="n">
        <x:v>4361.11</x:v>
      </x:c>
      <x:c r="H227" s="17" t="n">
        <x:v>2367.46</x:v>
      </x:c>
      <x:c r="I227" s="17" t="n">
        <x:v>117874.49</x:v>
      </x:c>
      <x:c r="J227" s="17" t="n">
        <x:v>70221.17</x:v>
      </x:c>
      <x:c r="K227" s="17" t="n">
        <x:v>4361.36</x:v>
      </x:c>
      <x:c r="L227" s="17" t="n">
        <x:v>2828.99</x:v>
      </x:c>
      <x:c r="M227" s="17" t="n">
        <x:v>2121.74</x:v>
      </x:c>
      <x:c r="N227" s="16" t="n">
        <x:v>30</x:v>
      </x:c>
      <x:c r="O227" s="16" t="n">
        <x:v>12</x:v>
      </x:c>
      <x:c r="P227" s="16" t="n">
        <x:v>3</x:v>
      </x:c>
      <x:c r="Q227" s="16" t="n">
        <x:v>34</x:v>
      </x:c>
      <x:c r="R227" s="16" t="n">
        <x:v>21</x:v>
      </x:c>
      <x:c r="S227" s="16" t="n">
        <x:v>6</x:v>
      </x:c>
      <x:c r="T227" s="15" t="n">
        <x:f>YEAR(A227)</x:f>
        <x:v>2024</x:v>
      </x:c>
      <x:c r="U227" s="15" t="n">
        <x:f>ROUNDUP(MONTH(A227)/3,0)</x:f>
        <x:v>3</x:v>
      </x:c>
      <x:c r="V227" s="18" t="n">
        <x:f>I227-J227</x:f>
        <x:v>47653.32000000001</x:v>
      </x:c>
      <x:c r="W227" s="19" t="n">
        <x:f>IF(I227=0,"",V227/I227)</x:f>
        <x:v>0.40427169610659613</x:v>
      </x:c>
      <x:c r="X227" s="18" t="n">
        <x:f>I227-J227-K227-L227-M227</x:f>
        <x:v>38341.23000000001</x:v>
      </x:c>
      <x:c r="Y227" s="19" t="n">
        <x:f>IF(I227=0,"",X227/I227)</x:f>
        <x:v>0.3252716512283532</x:v>
      </x:c>
      <x:c r="Z227" s="18" t="n">
        <x:f>IF(E227=0,"",F227/E227)</x:f>
        <x:v>1164.5145794392522</x:v>
      </x:c>
      <x:c r="AA227" s="18" t="n">
        <x:f>IF(N227=0,"",M227/N227)</x:f>
        <x:v>70.72466666666666</x:v>
      </x:c>
      <x:c r="AB227" s="19" t="n">
        <x:f>IF(E227=0,"",O227/E227)</x:f>
        <x:v>0.11214953271028037</x:v>
      </x:c>
      <x:c r="AC227" s="19" t="n">
        <x:f>IF(E227=0,"",P227/E227)</x:f>
        <x:v>0.028037383177570093</x:v>
      </x:c>
      <x:c r="AD227" s="20" t="n">
        <x:f>IF(Q227=0,"",100*(R227-S227)/Q227)</x:f>
        <x:v>44.11764705882353</x:v>
      </x:c>
      <x:c r="AE227" s="19" t="n">
        <x:f>IF(F227=0,"",G227/F227)</x:f>
        <x:v>0.03500002327390676</x:v>
      </x:c>
      <x:c r="AF227" s="18" t="n">
        <x:f>ROUND(I227-(F227-G227-H227),2)</x:f>
        <x:v>0</x:v>
      </x:c>
    </x:row>
    <x:row r="228" ht="24" customHeight="1">
      <x:c r="A228" s="14" t="n">
        <x:v>45474</x:v>
      </x:c>
      <x:c r="B228" s="2" t="str">
        <x:v>Lojas</x:v>
      </x:c>
      <x:c r="C228" s="2" t="str">
        <x:v>Sul</x:v>
      </x:c>
      <x:c r="D228" s="2" t="str">
        <x:v>M-0223</x:v>
      </x:c>
      <x:c r="E228" s="16" t="n">
        <x:v>81</x:v>
      </x:c>
      <x:c r="F228" s="17" t="n">
        <x:v>94621.42</x:v>
      </x:c>
      <x:c r="G228" s="17" t="n">
        <x:v>3311.75</x:v>
      </x:c>
      <x:c r="H228" s="17" t="n">
        <x:v>1797.81</x:v>
      </x:c>
      <x:c r="I228" s="17" t="n">
        <x:v>89511.86</x:v>
      </x:c>
      <x:c r="J228" s="17" t="n">
        <x:v>50666.44</x:v>
      </x:c>
      <x:c r="K228" s="17" t="n">
        <x:v>3311.94</x:v>
      </x:c>
      <x:c r="L228" s="17" t="n">
        <x:v>2148.28</x:v>
      </x:c>
      <x:c r="M228" s="17" t="n">
        <x:v>1611.21</x:v>
      </x:c>
      <x:c r="N228" s="16" t="n">
        <x:v>23</x:v>
      </x:c>
      <x:c r="O228" s="16" t="n">
        <x:v>9</x:v>
      </x:c>
      <x:c r="P228" s="16" t="n">
        <x:v>2</x:v>
      </x:c>
      <x:c r="Q228" s="16" t="n">
        <x:v>26</x:v>
      </x:c>
      <x:c r="R228" s="16" t="n">
        <x:v>16</x:v>
      </x:c>
      <x:c r="S228" s="16" t="n">
        <x:v>4</x:v>
      </x:c>
      <x:c r="T228" s="15" t="n">
        <x:f>YEAR(A228)</x:f>
        <x:v>2024</x:v>
      </x:c>
      <x:c r="U228" s="15" t="n">
        <x:f>ROUNDUP(MONTH(A228)/3,0)</x:f>
        <x:v>3</x:v>
      </x:c>
      <x:c r="V228" s="18" t="n">
        <x:f>I228-J228</x:f>
        <x:v>38845.42</x:v>
      </x:c>
      <x:c r="W228" s="19" t="n">
        <x:f>IF(I228=0,"",V228/I228)</x:f>
        <x:v>0.43396953208211736</x:v>
      </x:c>
      <x:c r="X228" s="18" t="n">
        <x:f>I228-J228-K228-L228-M228</x:f>
        <x:v>31773.989999999998</x:v>
      </x:c>
      <x:c r="Y228" s="19" t="n">
        <x:f>IF(I228=0,"",X228/I228)</x:f>
        <x:v>0.3549696096137428</x:v>
      </x:c>
      <x:c r="Z228" s="18" t="n">
        <x:f>IF(E228=0,"",F228/E228)</x:f>
        <x:v>1168.1656790123457</x:v>
      </x:c>
      <x:c r="AA228" s="18" t="n">
        <x:f>IF(N228=0,"",M228/N228)</x:f>
        <x:v>70.05260869565218</x:v>
      </x:c>
      <x:c r="AB228" s="19" t="n">
        <x:f>IF(E228=0,"",O228/E228)</x:f>
        <x:v>0.1111111111111111</x:v>
      </x:c>
      <x:c r="AC228" s="19" t="n">
        <x:f>IF(E228=0,"",P228/E228)</x:f>
        <x:v>0.024691358024691357</x:v>
      </x:c>
      <x:c r="AD228" s="20" t="n">
        <x:f>IF(Q228=0,"",100*(R228-S228)/Q228)</x:f>
        <x:v>46.15384615384615</x:v>
      </x:c>
      <x:c r="AE228" s="19" t="n">
        <x:f>IF(F228=0,"",G228/F228)</x:f>
        <x:v>0.03500000317052947</x:v>
      </x:c>
      <x:c r="AF228" s="18" t="n">
        <x:f>ROUND(I228-(F228-G228-H228),2)</x:f>
        <x:v>0</x:v>
      </x:c>
    </x:row>
    <x:row r="229" ht="24" customHeight="1">
      <x:c r="A229" s="14" t="n">
        <x:v>45474</x:v>
      </x:c>
      <x:c r="B229" s="2" t="str">
        <x:v>Lojas</x:v>
      </x:c>
      <x:c r="C229" s="2" t="str">
        <x:v>Centro-Oeste</x:v>
      </x:c>
      <x:c r="D229" s="2" t="str">
        <x:v>M-0224</x:v>
      </x:c>
      <x:c r="E229" s="16" t="n">
        <x:v>68</x:v>
      </x:c>
      <x:c r="F229" s="17" t="n">
        <x:v>79031.23</x:v>
      </x:c>
      <x:c r="G229" s="17" t="n">
        <x:v>2766.09</x:v>
      </x:c>
      <x:c r="H229" s="17" t="n">
        <x:v>1501.59</x:v>
      </x:c>
      <x:c r="I229" s="17" t="n">
        <x:v>74763.55</x:v>
      </x:c>
      <x:c r="J229" s="17" t="n">
        <x:v>42931.12</x:v>
      </x:c>
      <x:c r="K229" s="17" t="n">
        <x:v>2766.25</x:v>
      </x:c>
      <x:c r="L229" s="17" t="n">
        <x:v>1794.33</x:v>
      </x:c>
      <x:c r="M229" s="17" t="n">
        <x:v>1345.74</x:v>
      </x:c>
      <x:c r="N229" s="16" t="n">
        <x:v>19</x:v>
      </x:c>
      <x:c r="O229" s="16" t="n">
        <x:v>8</x:v>
      </x:c>
      <x:c r="P229" s="16" t="n">
        <x:v>2</x:v>
      </x:c>
      <x:c r="Q229" s="16" t="n">
        <x:v>22</x:v>
      </x:c>
      <x:c r="R229" s="16" t="n">
        <x:v>14</x:v>
      </x:c>
      <x:c r="S229" s="16" t="n">
        <x:v>4</x:v>
      </x:c>
      <x:c r="T229" s="15" t="n">
        <x:f>YEAR(A229)</x:f>
        <x:v>2024</x:v>
      </x:c>
      <x:c r="U229" s="15" t="n">
        <x:f>ROUNDUP(MONTH(A229)/3,0)</x:f>
        <x:v>3</x:v>
      </x:c>
      <x:c r="V229" s="18" t="n">
        <x:f>I229-J229</x:f>
        <x:v>31832.43</x:v>
      </x:c>
      <x:c r="W229" s="19" t="n">
        <x:f>IF(I229=0,"",V229/I229)</x:f>
        <x:v>0.425774725785493</x:v>
      </x:c>
      <x:c r="X229" s="18" t="n">
        <x:f>I229-J229-K229-L229-M229</x:f>
        <x:v>25926.109999999997</x:v>
      </x:c>
      <x:c r="Y229" s="19" t="n">
        <x:f>IF(I229=0,"",X229/I229)</x:f>
        <x:v>0.3467747318044688</x:v>
      </x:c>
      <x:c r="Z229" s="18" t="n">
        <x:f>IF(E229=0,"",F229/E229)</x:f>
        <x:v>1162.2239705882353</x:v>
      </x:c>
      <x:c r="AA229" s="18" t="n">
        <x:f>IF(N229=0,"",M229/N229)</x:f>
        <x:v>70.82842105263158</x:v>
      </x:c>
      <x:c r="AB229" s="19" t="n">
        <x:f>IF(E229=0,"",O229/E229)</x:f>
        <x:v>0.11764705882352941</x:v>
      </x:c>
      <x:c r="AC229" s="19" t="n">
        <x:f>IF(E229=0,"",P229/E229)</x:f>
        <x:v>0.029411764705882353</x:v>
      </x:c>
      <x:c r="AD229" s="20" t="n">
        <x:f>IF(Q229=0,"",100*(R229-S229)/Q229)</x:f>
        <x:v>45.45454545454545</x:v>
      </x:c>
      <x:c r="AE229" s="19" t="n">
        <x:f>IF(F229=0,"",G229/F229)</x:f>
        <x:v>0.034999961407661255</x:v>
      </x:c>
      <x:c r="AF229" s="18" t="n">
        <x:f>ROUND(I229-(F229-G229-H229),2)</x:f>
        <x:v>0</x:v>
      </x:c>
    </x:row>
    <x:row r="230" ht="24" customHeight="1">
      <x:c r="A230" s="14" t="n">
        <x:v>45474</x:v>
      </x:c>
      <x:c r="B230" s="2" t="str">
        <x:v>B2B</x:v>
      </x:c>
      <x:c r="C230" s="2" t="str">
        <x:v>Sudeste</x:v>
      </x:c>
      <x:c r="D230" s="2" t="str">
        <x:v>M-0225</x:v>
      </x:c>
      <x:c r="E230" s="16" t="n">
        <x:v>92</x:v>
      </x:c>
      <x:c r="F230" s="17" t="n">
        <x:v>106590.87</x:v>
      </x:c>
      <x:c r="G230" s="17" t="n">
        <x:v>3730.68</x:v>
      </x:c>
      <x:c r="H230" s="17" t="n">
        <x:v>2025.23</x:v>
      </x:c>
      <x:c r="I230" s="17" t="n">
        <x:v>100834.96</x:v>
      </x:c>
      <x:c r="J230" s="17" t="n">
        <x:v>58499.21</x:v>
      </x:c>
      <x:c r="K230" s="17" t="n">
        <x:v>3730.89</x:v>
      </x:c>
      <x:c r="L230" s="17" t="n">
        <x:v>2420.04</x:v>
      </x:c>
      <x:c r="M230" s="17" t="n">
        <x:v>1815.03</x:v>
      </x:c>
      <x:c r="N230" s="16" t="n">
        <x:v>26</x:v>
      </x:c>
      <x:c r="O230" s="16" t="n">
        <x:v>10</x:v>
      </x:c>
      <x:c r="P230" s="16" t="n">
        <x:v>2</x:v>
      </x:c>
      <x:c r="Q230" s="16" t="n">
        <x:v>29</x:v>
      </x:c>
      <x:c r="R230" s="16" t="n">
        <x:v>18</x:v>
      </x:c>
      <x:c r="S230" s="16" t="n">
        <x:v>5</x:v>
      </x:c>
      <x:c r="T230" s="15" t="n">
        <x:f>YEAR(A230)</x:f>
        <x:v>2024</x:v>
      </x:c>
      <x:c r="U230" s="15" t="n">
        <x:f>ROUNDUP(MONTH(A230)/3,0)</x:f>
        <x:v>3</x:v>
      </x:c>
      <x:c r="V230" s="18" t="n">
        <x:f>I230-J230</x:f>
        <x:v>42335.75000000001</x:v>
      </x:c>
      <x:c r="W230" s="19" t="n">
        <x:f>IF(I230=0,"",V230/I230)</x:f>
        <x:v>0.41985190453787063</x:v>
      </x:c>
      <x:c r="X230" s="18" t="n">
        <x:f>I230-J230-K230-L230-M230</x:f>
        <x:v>34369.79000000001</x:v>
      </x:c>
      <x:c r="Y230" s="19" t="n">
        <x:f>IF(I230=0,"",X230/I230)</x:f>
        <x:v>0.3408519227855102</x:v>
      </x:c>
      <x:c r="Z230" s="18" t="n">
        <x:f>IF(E230=0,"",F230/E230)</x:f>
        <x:v>1158.5964130434782</x:v>
      </x:c>
      <x:c r="AA230" s="18" t="n">
        <x:f>IF(N230=0,"",M230/N230)</x:f>
        <x:v>69.80884615384615</x:v>
      </x:c>
      <x:c r="AB230" s="19" t="n">
        <x:f>IF(E230=0,"",O230/E230)</x:f>
        <x:v>0.10869565217391304</x:v>
      </x:c>
      <x:c r="AC230" s="19" t="n">
        <x:f>IF(E230=0,"",P230/E230)</x:f>
        <x:v>0.021739130434782608</x:v>
      </x:c>
      <x:c r="AD230" s="20" t="n">
        <x:f>IF(Q230=0,"",100*(R230-S230)/Q230)</x:f>
        <x:v>44.827586206896555</x:v>
      </x:c>
      <x:c r="AE230" s="19" t="n">
        <x:f>IF(F230=0,"",G230/F230)</x:f>
        <x:v>0.034999995778250054</x:v>
      </x:c>
      <x:c r="AF230" s="18" t="n">
        <x:f>ROUND(I230-(F230-G230-H230),2)</x:f>
        <x:v>0</x:v>
      </x:c>
    </x:row>
    <x:row r="231" ht="24" customHeight="1">
      <x:c r="A231" s="14" t="n">
        <x:v>45474</x:v>
      </x:c>
      <x:c r="B231" s="2" t="str">
        <x:v>B2B</x:v>
      </x:c>
      <x:c r="C231" s="2" t="str">
        <x:v>Nordeste</x:v>
      </x:c>
      <x:c r="D231" s="2" t="str">
        <x:v>M-0226</x:v>
      </x:c>
      <x:c r="E231" s="16" t="n">
        <x:v>56</x:v>
      </x:c>
      <x:c r="F231" s="17" t="n">
        <x:v>65217.65</x:v>
      </x:c>
      <x:c r="G231" s="17" t="n">
        <x:v>2282.62</x:v>
      </x:c>
      <x:c r="H231" s="17" t="n">
        <x:v>1239.14</x:v>
      </x:c>
      <x:c r="I231" s="17" t="n">
        <x:v>61695.89</x:v>
      </x:c>
      <x:c r="J231" s="17" t="n">
        <x:v>36869.58</x:v>
      </x:c>
      <x:c r="K231" s="17" t="n">
        <x:v>2282.75</x:v>
      </x:c>
      <x:c r="L231" s="17" t="n">
        <x:v>1480.7</x:v>
      </x:c>
      <x:c r="M231" s="17" t="n">
        <x:v>1110.53</x:v>
      </x:c>
      <x:c r="N231" s="16" t="n">
        <x:v>16</x:v>
      </x:c>
      <x:c r="O231" s="16" t="n">
        <x:v>6</x:v>
      </x:c>
      <x:c r="P231" s="16" t="n">
        <x:v>2</x:v>
      </x:c>
      <x:c r="Q231" s="16" t="n">
        <x:v>18</x:v>
      </x:c>
      <x:c r="R231" s="16" t="n">
        <x:v>11</x:v>
      </x:c>
      <x:c r="S231" s="16" t="n">
        <x:v>3</x:v>
      </x:c>
      <x:c r="T231" s="15" t="n">
        <x:f>YEAR(A231)</x:f>
        <x:v>2024</x:v>
      </x:c>
      <x:c r="U231" s="15" t="n">
        <x:f>ROUNDUP(MONTH(A231)/3,0)</x:f>
        <x:v>3</x:v>
      </x:c>
      <x:c r="V231" s="18" t="n">
        <x:f>I231-J231</x:f>
        <x:v>24826.309999999998</x:v>
      </x:c>
      <x:c r="W231" s="19" t="n">
        <x:f>IF(I231=0,"",V231/I231)</x:f>
        <x:v>0.40239811760556493</x:v>
      </x:c>
      <x:c r="X231" s="18" t="n">
        <x:f>I231-J231-K231-L231-M231</x:f>
        <x:v>19952.329999999998</x:v>
      </x:c>
      <x:c r="Y231" s="19" t="n">
        <x:f>IF(I231=0,"",X231/I231)</x:f>
        <x:v>0.3233980415875352</x:v>
      </x:c>
      <x:c r="Z231" s="18" t="n">
        <x:f>IF(E231=0,"",F231/E231)</x:f>
        <x:v>1164.600892857143</x:v>
      </x:c>
      <x:c r="AA231" s="18" t="n">
        <x:f>IF(N231=0,"",M231/N231)</x:f>
        <x:v>69.408125</x:v>
      </x:c>
      <x:c r="AB231" s="19" t="n">
        <x:f>IF(E231=0,"",O231/E231)</x:f>
        <x:v>0.10714285714285714</x:v>
      </x:c>
      <x:c r="AC231" s="19" t="n">
        <x:f>IF(E231=0,"",P231/E231)</x:f>
        <x:v>0.03571428571428571</x:v>
      </x:c>
      <x:c r="AD231" s="20" t="n">
        <x:f>IF(Q231=0,"",100*(R231-S231)/Q231)</x:f>
        <x:v>44.44444444444444</x:v>
      </x:c>
      <x:c r="AE231" s="19" t="n">
        <x:f>IF(F231=0,"",G231/F231)</x:f>
        <x:v>0.03500003449986315</x:v>
      </x:c>
      <x:c r="AF231" s="18" t="n">
        <x:f>ROUND(I231-(F231-G231-H231),2)</x:f>
        <x:v>0</x:v>
      </x:c>
    </x:row>
    <x:row r="232" ht="24" customHeight="1">
      <x:c r="A232" s="14" t="n">
        <x:v>45474</x:v>
      </x:c>
      <x:c r="B232" s="2" t="str">
        <x:v>B2B</x:v>
      </x:c>
      <x:c r="C232" s="2" t="str">
        <x:v>Sul</x:v>
      </x:c>
      <x:c r="D232" s="2" t="str">
        <x:v>M-0227</x:v>
      </x:c>
      <x:c r="E232" s="16" t="n">
        <x:v>47</x:v>
      </x:c>
      <x:c r="F232" s="17" t="n">
        <x:v>54105</x:v>
      </x:c>
      <x:c r="G232" s="17" t="n">
        <x:v>1893.68</x:v>
      </x:c>
      <x:c r="H232" s="17" t="n">
        <x:v>1028</x:v>
      </x:c>
      <x:c r="I232" s="17" t="n">
        <x:v>51183.32</x:v>
      </x:c>
      <x:c r="J232" s="17" t="n">
        <x:v>29909.41</x:v>
      </x:c>
      <x:c r="K232" s="17" t="n">
        <x:v>1893.78</x:v>
      </x:c>
      <x:c r="L232" s="17" t="n">
        <x:v>1228.4</x:v>
      </x:c>
      <x:c r="M232" s="17" t="n">
        <x:v>921.3</x:v>
      </x:c>
      <x:c r="N232" s="16" t="n">
        <x:v>13</x:v>
      </x:c>
      <x:c r="O232" s="16" t="n">
        <x:v>5</x:v>
      </x:c>
      <x:c r="P232" s="16" t="n">
        <x:v>1</x:v>
      </x:c>
      <x:c r="Q232" s="16" t="n">
        <x:v>15</x:v>
      </x:c>
      <x:c r="R232" s="16" t="n">
        <x:v>9</x:v>
      </x:c>
      <x:c r="S232" s="16" t="n">
        <x:v>3</x:v>
      </x:c>
      <x:c r="T232" s="15" t="n">
        <x:f>YEAR(A232)</x:f>
        <x:v>2024</x:v>
      </x:c>
      <x:c r="U232" s="15" t="n">
        <x:f>ROUNDUP(MONTH(A232)/3,0)</x:f>
        <x:v>3</x:v>
      </x:c>
      <x:c r="V232" s="18" t="n">
        <x:f>I232-J232</x:f>
        <x:v>21273.91</x:v>
      </x:c>
      <x:c r="W232" s="19" t="n">
        <x:f>IF(I232=0,"",V232/I232)</x:f>
        <x:v>0.41564146288282977</x:v>
      </x:c>
      <x:c r="X232" s="18" t="n">
        <x:f>I232-J232-K232-L232-M232</x:f>
        <x:v>17230.43</x:v>
      </x:c>
      <x:c r="Y232" s="19" t="n">
        <x:f>IF(I232=0,"",X232/I232)</x:f>
        <x:v>0.336641507428592</x:v>
      </x:c>
      <x:c r="Z232" s="18" t="n">
        <x:f>IF(E232=0,"",F232/E232)</x:f>
        <x:v>1151.1702127659576</x:v>
      </x:c>
      <x:c r="AA232" s="18" t="n">
        <x:f>IF(N232=0,"",M232/N232)</x:f>
        <x:v>70.86923076923077</x:v>
      </x:c>
      <x:c r="AB232" s="19" t="n">
        <x:f>IF(E232=0,"",O232/E232)</x:f>
        <x:v>0.10638297872340426</x:v>
      </x:c>
      <x:c r="AC232" s="19" t="n">
        <x:f>IF(E232=0,"",P232/E232)</x:f>
        <x:v>0.02127659574468085</x:v>
      </x:c>
      <x:c r="AD232" s="20" t="n">
        <x:f>IF(Q232=0,"",100*(R232-S232)/Q232)</x:f>
        <x:v>40</x:v>
      </x:c>
      <x:c r="AE232" s="19" t="n">
        <x:f>IF(F232=0,"",G232/F232)</x:f>
        <x:v>0.03500009241290084</x:v>
      </x:c>
      <x:c r="AF232" s="18" t="n">
        <x:f>ROUND(I232-(F232-G232-H232),2)</x:f>
        <x:v>0</x:v>
      </x:c>
    </x:row>
    <x:row r="233" ht="24" customHeight="1">
      <x:c r="A233" s="14" t="n">
        <x:v>45474</x:v>
      </x:c>
      <x:c r="B233" s="2" t="str">
        <x:v>B2B</x:v>
      </x:c>
      <x:c r="C233" s="2" t="str">
        <x:v>Centro-Oeste</x:v>
      </x:c>
      <x:c r="D233" s="2" t="str">
        <x:v>M-0228</x:v>
      </x:c>
      <x:c r="E233" s="16" t="n">
        <x:v>40</x:v>
      </x:c>
      <x:c r="F233" s="17" t="n">
        <x:v>45926.56</x:v>
      </x:c>
      <x:c r="G233" s="17" t="n">
        <x:v>1607.43</x:v>
      </x:c>
      <x:c r="H233" s="17" t="n">
        <x:v>872.6</x:v>
      </x:c>
      <x:c r="I233" s="17" t="n">
        <x:v>43446.53</x:v>
      </x:c>
      <x:c r="J233" s="17" t="n">
        <x:v>25458.56</x:v>
      </x:c>
      <x:c r="K233" s="17" t="n">
        <x:v>1607.52</x:v>
      </x:c>
      <x:c r="L233" s="17" t="n">
        <x:v>1042.72</x:v>
      </x:c>
      <x:c r="M233" s="17" t="n">
        <x:v>782.04</x:v>
      </x:c>
      <x:c r="N233" s="16" t="n">
        <x:v>11</x:v>
      </x:c>
      <x:c r="O233" s="16" t="n">
        <x:v>4</x:v>
      </x:c>
      <x:c r="P233" s="16" t="n">
        <x:v>1</x:v>
      </x:c>
      <x:c r="Q233" s="16" t="n">
        <x:v>13</x:v>
      </x:c>
      <x:c r="R233" s="16" t="n">
        <x:v>8</x:v>
      </x:c>
      <x:c r="S233" s="16" t="n">
        <x:v>2</x:v>
      </x:c>
      <x:c r="T233" s="15" t="n">
        <x:f>YEAR(A233)</x:f>
        <x:v>2024</x:v>
      </x:c>
      <x:c r="U233" s="15" t="n">
        <x:f>ROUNDUP(MONTH(A233)/3,0)</x:f>
        <x:v>3</x:v>
      </x:c>
      <x:c r="V233" s="18" t="n">
        <x:f>I233-J233</x:f>
        <x:v>17987.969999999998</x:v>
      </x:c>
      <x:c r="W233" s="19" t="n">
        <x:f>IF(I233=0,"",V233/I233)</x:f>
        <x:v>0.41402546992820827</x:v>
      </x:c>
      <x:c r="X233" s="18" t="n">
        <x:f>I233-J233-K233-L233-M233</x:f>
        <x:v>14555.689999999999</x:v>
      </x:c>
      <x:c r="Y233" s="19" t="n">
        <x:f>IF(I233=0,"",X233/I233)</x:f>
        <x:v>0.335025374868833</x:v>
      </x:c>
      <x:c r="Z233" s="18" t="n">
        <x:f>IF(E233=0,"",F233/E233)</x:f>
        <x:v>1148.164</x:v>
      </x:c>
      <x:c r="AA233" s="18" t="n">
        <x:f>IF(N233=0,"",M233/N233)</x:f>
        <x:v>71.09454545454545</x:v>
      </x:c>
      <x:c r="AB233" s="19" t="n">
        <x:f>IF(E233=0,"",O233/E233)</x:f>
        <x:v>0.1</x:v>
      </x:c>
      <x:c r="AC233" s="19" t="n">
        <x:f>IF(E233=0,"",P233/E233)</x:f>
        <x:v>0.025</x:v>
      </x:c>
      <x:c r="AD233" s="20" t="n">
        <x:f>IF(Q233=0,"",100*(R233-S233)/Q233)</x:f>
        <x:v>46.15384615384615</x:v>
      </x:c>
      <x:c r="AE233" s="19" t="n">
        <x:f>IF(F233=0,"",G233/F233)</x:f>
        <x:v>0.035000008709557176</x:v>
      </x:c>
      <x:c r="AF233" s="18" t="n">
        <x:f>ROUND(I233-(F233-G233-H233),2)</x:f>
        <x:v>0</x:v>
      </x:c>
    </x:row>
    <x:row r="234" ht="24" customHeight="1">
      <x:c r="A234" s="14" t="n">
        <x:v>45505</x:v>
      </x:c>
      <x:c r="B234" s="2" t="str">
        <x:v>E-commerce</x:v>
      </x:c>
      <x:c r="C234" s="2" t="str">
        <x:v>Sudeste</x:v>
      </x:c>
      <x:c r="D234" s="2" t="str">
        <x:v>M-0229</x:v>
      </x:c>
      <x:c r="E234" s="16" t="n">
        <x:v>185</x:v>
      </x:c>
      <x:c r="F234" s="17" t="n">
        <x:v>214724.43</x:v>
      </x:c>
      <x:c r="G234" s="17" t="n">
        <x:v>7634.65</x:v>
      </x:c>
      <x:c r="H234" s="17" t="n">
        <x:v>4187.13</x:v>
      </x:c>
      <x:c r="I234" s="17" t="n">
        <x:v>202902.65</x:v>
      </x:c>
      <x:c r="J234" s="17" t="n">
        <x:v>117305.88</x:v>
      </x:c>
      <x:c r="K234" s="17" t="n">
        <x:v>11971.26</x:v>
      </x:c>
      <x:c r="L234" s="17" t="n">
        <x:v>4869.66</x:v>
      </x:c>
      <x:c r="M234" s="17" t="n">
        <x:v>15217.7</x:v>
      </x:c>
      <x:c r="N234" s="16" t="n">
        <x:v>96</x:v>
      </x:c>
      <x:c r="O234" s="16" t="n">
        <x:v>21</x:v>
      </x:c>
      <x:c r="P234" s="16" t="n">
        <x:v>5</x:v>
      </x:c>
      <x:c r="Q234" s="16" t="n">
        <x:v>59</x:v>
      </x:c>
      <x:c r="R234" s="16" t="n">
        <x:v>37</x:v>
      </x:c>
      <x:c r="S234" s="16" t="n">
        <x:v>10</x:v>
      </x:c>
      <x:c r="T234" s="15" t="n">
        <x:f>YEAR(A234)</x:f>
        <x:v>2024</x:v>
      </x:c>
      <x:c r="U234" s="15" t="n">
        <x:f>ROUNDUP(MONTH(A234)/3,0)</x:f>
        <x:v>3</x:v>
      </x:c>
      <x:c r="V234" s="18" t="n">
        <x:f>I234-J234</x:f>
        <x:v>85596.76999999999</x:v>
      </x:c>
      <x:c r="W234" s="19" t="n">
        <x:f>IF(I234=0,"",V234/I234)</x:f>
        <x:v>0.42186127189566025</x:v>
      </x:c>
      <x:c r="X234" s="18" t="n">
        <x:f>I234-J234-K234-L234-M234</x:f>
        <x:v>53538.149999999994</x:v>
      </x:c>
      <x:c r="Y234" s="19" t="n">
        <x:f>IF(I234=0,"",X234/I234)</x:f>
        <x:v>0.26386126548864686</x:v>
      </x:c>
      <x:c r="Z234" s="18" t="n">
        <x:f>IF(E234=0,"",F234/E234)</x:f>
        <x:v>1160.6725945945946</x:v>
      </x:c>
      <x:c r="AA234" s="18" t="n">
        <x:f>IF(N234=0,"",M234/N234)</x:f>
        <x:v>158.51770833333333</x:v>
      </x:c>
      <x:c r="AB234" s="19" t="n">
        <x:f>IF(E234=0,"",O234/E234)</x:f>
        <x:v>0.11351351351351352</x:v>
      </x:c>
      <x:c r="AC234" s="19" t="n">
        <x:f>IF(E234=0,"",P234/E234)</x:f>
        <x:v>0.02702702702702703</x:v>
      </x:c>
      <x:c r="AD234" s="20" t="n">
        <x:f>IF(Q234=0,"",100*(R234-S234)/Q234)</x:f>
        <x:v>45.76271186440678</x:v>
      </x:c>
      <x:c r="AE234" s="19" t="n">
        <x:f>IF(F234=0,"",G234/F234)</x:f>
        <x:v>0.035555572321230515</x:v>
      </x:c>
      <x:c r="AF234" s="18" t="n">
        <x:f>ROUND(I234-(F234-G234-H234),2)</x:f>
        <x:v>0</x:v>
      </x:c>
    </x:row>
    <x:row r="235" ht="24" customHeight="1">
      <x:c r="A235" s="14" t="n">
        <x:v>45505</x:v>
      </x:c>
      <x:c r="B235" s="2" t="str">
        <x:v>E-commerce</x:v>
      </x:c>
      <x:c r="C235" s="2" t="str">
        <x:v>Nordeste</x:v>
      </x:c>
      <x:c r="D235" s="2" t="str">
        <x:v>M-0230</x:v>
      </x:c>
      <x:c r="E235" s="16" t="n">
        <x:v>109</x:v>
      </x:c>
      <x:c r="F235" s="17" t="n">
        <x:v>126785.88</x:v>
      </x:c>
      <x:c r="G235" s="17" t="n">
        <x:v>4507.94</x:v>
      </x:c>
      <x:c r="H235" s="17" t="n">
        <x:v>2472.32</x:v>
      </x:c>
      <x:c r="I235" s="17" t="n">
        <x:v>119805.62</x:v>
      </x:c>
      <x:c r="J235" s="17" t="n">
        <x:v>68045.17</x:v>
      </x:c>
      <x:c r="K235" s="17" t="n">
        <x:v>7068.53</x:v>
      </x:c>
      <x:c r="L235" s="17" t="n">
        <x:v>2875.33</x:v>
      </x:c>
      <x:c r="M235" s="17" t="n">
        <x:v>8985.42</x:v>
      </x:c>
      <x:c r="N235" s="16" t="n">
        <x:v>57</x:v>
      </x:c>
      <x:c r="O235" s="16" t="n">
        <x:v>13</x:v>
      </x:c>
      <x:c r="P235" s="16" t="n">
        <x:v>3</x:v>
      </x:c>
      <x:c r="Q235" s="16" t="n">
        <x:v>35</x:v>
      </x:c>
      <x:c r="R235" s="16" t="n">
        <x:v>22</x:v>
      </x:c>
      <x:c r="S235" s="16" t="n">
        <x:v>6</x:v>
      </x:c>
      <x:c r="T235" s="15" t="n">
        <x:f>YEAR(A235)</x:f>
        <x:v>2024</x:v>
      </x:c>
      <x:c r="U235" s="15" t="n">
        <x:f>ROUNDUP(MONTH(A235)/3,0)</x:f>
        <x:v>3</x:v>
      </x:c>
      <x:c r="V235" s="18" t="n">
        <x:f>I235-J235</x:f>
        <x:v>51760.45</x:v>
      </x:c>
      <x:c r="W235" s="19" t="n">
        <x:f>IF(I235=0,"",V235/I235)</x:f>
        <x:v>0.4320369111232011</x:v>
      </x:c>
      <x:c r="X235" s="18" t="n">
        <x:f>I235-J235-K235-L235-M235</x:f>
        <x:v>32831.17</x:v>
      </x:c>
      <x:c r="Y235" s="19" t="n">
        <x:f>IF(I235=0,"",X235/I235)</x:f>
        <x:v>0.2740369775641577</x:v>
      </x:c>
      <x:c r="Z235" s="18" t="n">
        <x:f>IF(E235=0,"",F235/E235)</x:f>
        <x:v>1163.1732110091743</x:v>
      </x:c>
      <x:c r="AA235" s="18" t="n">
        <x:f>IF(N235=0,"",M235/N235)</x:f>
        <x:v>157.63894736842104</x:v>
      </x:c>
      <x:c r="AB235" s="19" t="n">
        <x:f>IF(E235=0,"",O235/E235)</x:f>
        <x:v>0.11926605504587157</x:v>
      </x:c>
      <x:c r="AC235" s="19" t="n">
        <x:f>IF(E235=0,"",P235/E235)</x:f>
        <x:v>0.027522935779816515</x:v>
      </x:c>
      <x:c r="AD235" s="20" t="n">
        <x:f>IF(Q235=0,"",100*(R235-S235)/Q235)</x:f>
        <x:v>45.714285714285715</x:v>
      </x:c>
      <x:c r="AE235" s="19" t="n">
        <x:f>IF(F235=0,"",G235/F235)</x:f>
        <x:v>0.035555536626002825</x:v>
      </x:c>
      <x:c r="AF235" s="18" t="n">
        <x:f>ROUND(I235-(F235-G235-H235),2)</x:f>
        <x:v>0</x:v>
      </x:c>
    </x:row>
    <x:row r="236" ht="24" customHeight="1">
      <x:c r="A236" s="14" t="n">
        <x:v>45505</x:v>
      </x:c>
      <x:c r="B236" s="2" t="str">
        <x:v>E-commerce</x:v>
      </x:c>
      <x:c r="C236" s="2" t="str">
        <x:v>Sul</x:v>
      </x:c>
      <x:c r="D236" s="2" t="str">
        <x:v>M-0231</x:v>
      </x:c>
      <x:c r="E236" s="16" t="n">
        <x:v>91</x:v>
      </x:c>
      <x:c r="F236" s="17" t="n">
        <x:v>106226.73</x:v>
      </x:c>
      <x:c r="G236" s="17" t="n">
        <x:v>3776.95</x:v>
      </x:c>
      <x:c r="H236" s="17" t="n">
        <x:v>2071.42</x:v>
      </x:c>
      <x:c r="I236" s="17" t="n">
        <x:v>100378.36</x:v>
      </x:c>
      <x:c r="J236" s="17" t="n">
        <x:v>58750.55</x:v>
      </x:c>
      <x:c r="K236" s="17" t="n">
        <x:v>5922.32</x:v>
      </x:c>
      <x:c r="L236" s="17" t="n">
        <x:v>2409.08</x:v>
      </x:c>
      <x:c r="M236" s="17" t="n">
        <x:v>7528.38</x:v>
      </x:c>
      <x:c r="N236" s="16" t="n">
        <x:v>47</x:v>
      </x:c>
      <x:c r="O236" s="16" t="n">
        <x:v>11</x:v>
      </x:c>
      <x:c r="P236" s="16" t="n">
        <x:v>3</x:v>
      </x:c>
      <x:c r="Q236" s="16" t="n">
        <x:v>29</x:v>
      </x:c>
      <x:c r="R236" s="16" t="n">
        <x:v>18</x:v>
      </x:c>
      <x:c r="S236" s="16" t="n">
        <x:v>5</x:v>
      </x:c>
      <x:c r="T236" s="15" t="n">
        <x:f>YEAR(A236)</x:f>
        <x:v>2024</x:v>
      </x:c>
      <x:c r="U236" s="15" t="n">
        <x:f>ROUNDUP(MONTH(A236)/3,0)</x:f>
        <x:v>3</x:v>
      </x:c>
      <x:c r="V236" s="18" t="n">
        <x:f>I236-J236</x:f>
        <x:v>41627.81</x:v>
      </x:c>
      <x:c r="W236" s="19" t="n">
        <x:f>IF(I236=0,"",V236/I236)</x:f>
        <x:v>0.4147090070011106</x:v>
      </x:c>
      <x:c r="X236" s="18" t="n">
        <x:f>I236-J236-K236-L236-M236</x:f>
        <x:v>25768.029999999995</x:v>
      </x:c>
      <x:c r="Y236" s="19" t="n">
        <x:f>IF(I236=0,"",X236/I236)</x:f>
        <x:v>0.25670901576794036</x:v>
      </x:c>
      <x:c r="Z236" s="18" t="n">
        <x:f>IF(E236=0,"",F236/E236)</x:f>
        <x:v>1167.3267032967033</x:v>
      </x:c>
      <x:c r="AA236" s="18" t="n">
        <x:f>IF(N236=0,"",M236/N236)</x:f>
        <x:v>160.17829787234044</x:v>
      </x:c>
      <x:c r="AB236" s="19" t="n">
        <x:f>IF(E236=0,"",O236/E236)</x:f>
        <x:v>0.12087912087912088</x:v>
      </x:c>
      <x:c r="AC236" s="19" t="n">
        <x:f>IF(E236=0,"",P236/E236)</x:f>
        <x:v>0.03296703296703297</x:v>
      </x:c>
      <x:c r="AD236" s="20" t="n">
        <x:f>IF(Q236=0,"",100*(R236-S236)/Q236)</x:f>
        <x:v>44.827586206896555</x:v>
      </x:c>
      <x:c r="AE236" s="19" t="n">
        <x:f>IF(F236=0,"",G236/F236)</x:f>
        <x:v>0.03555555179002498</x:v>
      </x:c>
      <x:c r="AF236" s="18" t="n">
        <x:f>ROUND(I236-(F236-G236-H236),2)</x:f>
        <x:v>0</x:v>
      </x:c>
    </x:row>
    <x:row r="237" ht="24" customHeight="1">
      <x:c r="A237" s="14" t="n">
        <x:v>45505</x:v>
      </x:c>
      <x:c r="B237" s="2" t="str">
        <x:v>E-commerce</x:v>
      </x:c>
      <x:c r="C237" s="2" t="str">
        <x:v>Centro-Oeste</x:v>
      </x:c>
      <x:c r="D237" s="2" t="str">
        <x:v>M-0232</x:v>
      </x:c>
      <x:c r="E237" s="16" t="n">
        <x:v>83</x:v>
      </x:c>
      <x:c r="F237" s="17" t="n">
        <x:v>96592.81</x:v>
      </x:c>
      <x:c r="G237" s="17" t="n">
        <x:v>3434.41</x:v>
      </x:c>
      <x:c r="H237" s="17" t="n">
        <x:v>1883.56</x:v>
      </x:c>
      <x:c r="I237" s="17" t="n">
        <x:v>91274.84</x:v>
      </x:c>
      <x:c r="J237" s="17" t="n">
        <x:v>53432.65</x:v>
      </x:c>
      <x:c r="K237" s="17" t="n">
        <x:v>5385.22</x:v>
      </x:c>
      <x:c r="L237" s="17" t="n">
        <x:v>2190.6</x:v>
      </x:c>
      <x:c r="M237" s="17" t="n">
        <x:v>6845.61</x:v>
      </x:c>
      <x:c r="N237" s="16" t="n">
        <x:v>43</x:v>
      </x:c>
      <x:c r="O237" s="16" t="n">
        <x:v>10</x:v>
      </x:c>
      <x:c r="P237" s="16" t="n">
        <x:v>2</x:v>
      </x:c>
      <x:c r="Q237" s="16" t="n">
        <x:v>27</x:v>
      </x:c>
      <x:c r="R237" s="16" t="n">
        <x:v>17</x:v>
      </x:c>
      <x:c r="S237" s="16" t="n">
        <x:v>5</x:v>
      </x:c>
      <x:c r="T237" s="15" t="n">
        <x:f>YEAR(A237)</x:f>
        <x:v>2024</x:v>
      </x:c>
      <x:c r="U237" s="15" t="n">
        <x:f>ROUNDUP(MONTH(A237)/3,0)</x:f>
        <x:v>3</x:v>
      </x:c>
      <x:c r="V237" s="18" t="n">
        <x:f>I237-J237</x:f>
        <x:v>37842.189999999995</x:v>
      </x:c>
      <x:c r="W237" s="19" t="n">
        <x:f>IF(I237=0,"",V237/I237)</x:f>
        <x:v>0.41459607050530023</x:v>
      </x:c>
      <x:c r="X237" s="18" t="n">
        <x:f>I237-J237-K237-L237-M237</x:f>
        <x:v>23420.759999999995</x:v>
      </x:c>
      <x:c r="Y237" s="19" t="n">
        <x:f>IF(I237=0,"",X237/I237)</x:f>
        <x:v>0.25659601265803367</x:v>
      </x:c>
      <x:c r="Z237" s="18" t="n">
        <x:f>IF(E237=0,"",F237/E237)</x:f>
        <x:v>1163.768795180723</x:v>
      </x:c>
      <x:c r="AA237" s="18" t="n">
        <x:f>IF(N237=0,"",M237/N237)</x:f>
        <x:v>159.20023255813953</x:v>
      </x:c>
      <x:c r="AB237" s="19" t="n">
        <x:f>IF(E237=0,"",O237/E237)</x:f>
        <x:v>0.12048192771084337</x:v>
      </x:c>
      <x:c r="AC237" s="19" t="n">
        <x:f>IF(E237=0,"",P237/E237)</x:f>
        <x:v>0.024096385542168676</x:v>
      </x:c>
      <x:c r="AD237" s="20" t="n">
        <x:f>IF(Q237=0,"",100*(R237-S237)/Q237)</x:f>
        <x:v>44.44444444444444</x:v>
      </x:c>
      <x:c r="AE237" s="19" t="n">
        <x:f>IF(F237=0,"",G237/F237)</x:f>
        <x:v>0.035555544972757286</x:v>
      </x:c>
      <x:c r="AF237" s="18" t="n">
        <x:f>ROUND(I237-(F237-G237-H237),2)</x:f>
        <x:v>0</x:v>
      </x:c>
    </x:row>
    <x:row r="238" ht="24" customHeight="1">
      <x:c r="A238" s="14" t="n">
        <x:v>45505</x:v>
      </x:c>
      <x:c r="B238" s="2" t="str">
        <x:v>Lojas</x:v>
      </x:c>
      <x:c r="C238" s="2" t="str">
        <x:v>Sudeste</x:v>
      </x:c>
      <x:c r="D238" s="2" t="str">
        <x:v>M-0233</x:v>
      </x:c>
      <x:c r="E238" s="16" t="n">
        <x:v>171</x:v>
      </x:c>
      <x:c r="F238" s="17" t="n">
        <x:v>199100.62</x:v>
      </x:c>
      <x:c r="G238" s="17" t="n">
        <x:v>7079.13</x:v>
      </x:c>
      <x:c r="H238" s="17" t="n">
        <x:v>3882.46</x:v>
      </x:c>
      <x:c r="I238" s="17" t="n">
        <x:v>188139.03</x:v>
      </x:c>
      <x:c r="J238" s="17" t="n">
        <x:v>106767.24</x:v>
      </x:c>
      <x:c r="K238" s="17" t="n">
        <x:v>7149.28</x:v>
      </x:c>
      <x:c r="L238" s="17" t="n">
        <x:v>4515.34</x:v>
      </x:c>
      <x:c r="M238" s="17" t="n">
        <x:v>3386.5</x:v>
      </x:c>
      <x:c r="N238" s="16" t="n">
        <x:v>48</x:v>
      </x:c>
      <x:c r="O238" s="16" t="n">
        <x:v>20</x:v>
      </x:c>
      <x:c r="P238" s="16" t="n">
        <x:v>5</x:v>
      </x:c>
      <x:c r="Q238" s="16" t="n">
        <x:v>55</x:v>
      </x:c>
      <x:c r="R238" s="16" t="n">
        <x:v>34</x:v>
      </x:c>
      <x:c r="S238" s="16" t="n">
        <x:v>10</x:v>
      </x:c>
      <x:c r="T238" s="15" t="n">
        <x:f>YEAR(A238)</x:f>
        <x:v>2024</x:v>
      </x:c>
      <x:c r="U238" s="15" t="n">
        <x:f>ROUNDUP(MONTH(A238)/3,0)</x:f>
        <x:v>3</x:v>
      </x:c>
      <x:c r="V238" s="18" t="n">
        <x:f>I238-J238</x:f>
        <x:v>81371.79</x:v>
      </x:c>
      <x:c r="W238" s="19" t="n">
        <x:f>IF(I238=0,"",V238/I238)</x:f>
        <x:v>0.4325088207375152</x:v>
      </x:c>
      <x:c r="X238" s="18" t="n">
        <x:f>I238-J238-K238-L238-M238</x:f>
        <x:v>66320.67</x:v>
      </x:c>
      <x:c r="Y238" s="19" t="n">
        <x:f>IF(I238=0,"",X238/I238)</x:f>
        <x:v>0.35250883349403894</x:v>
      </x:c>
      <x:c r="Z238" s="18" t="n">
        <x:f>IF(E238=0,"",F238/E238)</x:f>
        <x:v>1164.331111111111</x:v>
      </x:c>
      <x:c r="AA238" s="18" t="n">
        <x:f>IF(N238=0,"",M238/N238)</x:f>
        <x:v>70.55208333333333</x:v>
      </x:c>
      <x:c r="AB238" s="19" t="n">
        <x:f>IF(E238=0,"",O238/E238)</x:f>
        <x:v>0.11695906432748537</x:v>
      </x:c>
      <x:c r="AC238" s="19" t="n">
        <x:f>IF(E238=0,"",P238/E238)</x:f>
        <x:v>0.029239766081871343</x:v>
      </x:c>
      <x:c r="AD238" s="20" t="n">
        <x:f>IF(Q238=0,"",100*(R238-S238)/Q238)</x:f>
        <x:v>43.63636363636363</x:v>
      </x:c>
      <x:c r="AE238" s="19" t="n">
        <x:f>IF(F238=0,"",G238/F238)</x:f>
        <x:v>0.03555553970650619</x:v>
      </x:c>
      <x:c r="AF238" s="18" t="n">
        <x:f>ROUND(I238-(F238-G238-H238),2)</x:f>
        <x:v>0</x:v>
      </x:c>
    </x:row>
    <x:row r="239" ht="24" customHeight="1">
      <x:c r="A239" s="14" t="n">
        <x:v>45505</x:v>
      </x:c>
      <x:c r="B239" s="2" t="str">
        <x:v>Lojas</x:v>
      </x:c>
      <x:c r="C239" s="2" t="str">
        <x:v>Nordeste</x:v>
      </x:c>
      <x:c r="D239" s="2" t="str">
        <x:v>M-0234</x:v>
      </x:c>
      <x:c r="E239" s="16" t="n">
        <x:v>101</x:v>
      </x:c>
      <x:c r="F239" s="17" t="n">
        <x:v>117533.42</x:v>
      </x:c>
      <x:c r="G239" s="17" t="n">
        <x:v>4178.97</x:v>
      </x:c>
      <x:c r="H239" s="17" t="n">
        <x:v>2291.9</x:v>
      </x:c>
      <x:c r="I239" s="17" t="n">
        <x:v>111062.55</x:v>
      </x:c>
      <x:c r="J239" s="17" t="n">
        <x:v>63950.36</x:v>
      </x:c>
      <x:c r="K239" s="17" t="n">
        <x:v>4220.38</x:v>
      </x:c>
      <x:c r="L239" s="17" t="n">
        <x:v>2665.5</x:v>
      </x:c>
      <x:c r="M239" s="17" t="n">
        <x:v>1999.13</x:v>
      </x:c>
      <x:c r="N239" s="16" t="n">
        <x:v>28</x:v>
      </x:c>
      <x:c r="O239" s="16" t="n">
        <x:v>12</x:v>
      </x:c>
      <x:c r="P239" s="16" t="n">
        <x:v>3</x:v>
      </x:c>
      <x:c r="Q239" s="16" t="n">
        <x:v>32</x:v>
      </x:c>
      <x:c r="R239" s="16" t="n">
        <x:v>20</x:v>
      </x:c>
      <x:c r="S239" s="16" t="n">
        <x:v>6</x:v>
      </x:c>
      <x:c r="T239" s="15" t="n">
        <x:f>YEAR(A239)</x:f>
        <x:v>2024</x:v>
      </x:c>
      <x:c r="U239" s="15" t="n">
        <x:f>ROUNDUP(MONTH(A239)/3,0)</x:f>
        <x:v>3</x:v>
      </x:c>
      <x:c r="V239" s="18" t="n">
        <x:f>I239-J239</x:f>
        <x:v>47112.19</x:v>
      </x:c>
      <x:c r="W239" s="19" t="n">
        <x:f>IF(I239=0,"",V239/I239)</x:f>
        <x:v>0.4241951044704088</x:v>
      </x:c>
      <x:c r="X239" s="18" t="n">
        <x:f>I239-J239-K239-L239-M239</x:f>
        <x:v>38227.18000000001</x:v>
      </x:c>
      <x:c r="Y239" s="19" t="n">
        <x:f>IF(I239=0,"",X239/I239)</x:f>
        <x:v>0.3441950504467978</x:v>
      </x:c>
      <x:c r="Z239" s="18" t="n">
        <x:f>IF(E239=0,"",F239/E239)</x:f>
        <x:v>1163.6972277227724</x:v>
      </x:c>
      <x:c r="AA239" s="18" t="n">
        <x:f>IF(N239=0,"",M239/N239)</x:f>
        <x:v>71.39750000000001</x:v>
      </x:c>
      <x:c r="AB239" s="19" t="n">
        <x:f>IF(E239=0,"",O239/E239)</x:f>
        <x:v>0.1188118811881188</x:v>
      </x:c>
      <x:c r="AC239" s="19" t="n">
        <x:f>IF(E239=0,"",P239/E239)</x:f>
        <x:v>0.0297029702970297</x:v>
      </x:c>
      <x:c r="AD239" s="20" t="n">
        <x:f>IF(Q239=0,"",100*(R239-S239)/Q239)</x:f>
        <x:v>43.75</x:v>
      </x:c>
      <x:c r="AE239" s="19" t="n">
        <x:f>IF(F239=0,"",G239/F239)</x:f>
        <x:v>0.03555558921028589</x:v>
      </x:c>
      <x:c r="AF239" s="18" t="n">
        <x:f>ROUND(I239-(F239-G239-H239),2)</x:f>
        <x:v>0</x:v>
      </x:c>
    </x:row>
    <x:row r="240" ht="24" customHeight="1">
      <x:c r="A240" s="14" t="n">
        <x:v>45505</x:v>
      </x:c>
      <x:c r="B240" s="2" t="str">
        <x:v>Lojas</x:v>
      </x:c>
      <x:c r="C240" s="2" t="str">
        <x:v>Sul</x:v>
      </x:c>
      <x:c r="D240" s="2" t="str">
        <x:v>M-0235</x:v>
      </x:c>
      <x:c r="E240" s="16" t="n">
        <x:v>79</x:v>
      </x:c>
      <x:c r="F240" s="17" t="n">
        <x:v>92081.46</x:v>
      </x:c>
      <x:c r="G240" s="17" t="n">
        <x:v>3274.01</x:v>
      </x:c>
      <x:c r="H240" s="17" t="n">
        <x:v>1795.59</x:v>
      </x:c>
      <x:c r="I240" s="17" t="n">
        <x:v>87011.86</x:v>
      </x:c>
      <x:c r="J240" s="17" t="n">
        <x:v>50478.34</x:v>
      </x:c>
      <x:c r="K240" s="17" t="n">
        <x:v>3306.45</x:v>
      </x:c>
      <x:c r="L240" s="17" t="n">
        <x:v>2088.28</x:v>
      </x:c>
      <x:c r="M240" s="17" t="n">
        <x:v>1566.21</x:v>
      </x:c>
      <x:c r="N240" s="16" t="n">
        <x:v>22</x:v>
      </x:c>
      <x:c r="O240" s="16" t="n">
        <x:v>9</x:v>
      </x:c>
      <x:c r="P240" s="16" t="n">
        <x:v>2</x:v>
      </x:c>
      <x:c r="Q240" s="16" t="n">
        <x:v>25</x:v>
      </x:c>
      <x:c r="R240" s="16" t="n">
        <x:v>16</x:v>
      </x:c>
      <x:c r="S240" s="16" t="n">
        <x:v>4</x:v>
      </x:c>
      <x:c r="T240" s="15" t="n">
        <x:f>YEAR(A240)</x:f>
        <x:v>2024</x:v>
      </x:c>
      <x:c r="U240" s="15" t="n">
        <x:f>ROUNDUP(MONTH(A240)/3,0)</x:f>
        <x:v>3</x:v>
      </x:c>
      <x:c r="V240" s="18" t="n">
        <x:f>I240-J240</x:f>
        <x:v>36533.520000000004</x:v>
      </x:c>
      <x:c r="W240" s="19" t="n">
        <x:f>IF(I240=0,"",V240/I240)</x:f>
        <x:v>0.41986828002527476</x:v>
      </x:c>
      <x:c r="X240" s="18" t="n">
        <x:f>I240-J240-K240-L240-M240</x:f>
        <x:v>29572.58000000001</x:v>
      </x:c>
      <x:c r="Y240" s="19" t="n">
        <x:f>IF(I240=0,"",X240/I240)</x:f>
        <x:v>0.3398683811609131</x:v>
      </x:c>
      <x:c r="Z240" s="18" t="n">
        <x:f>IF(E240=0,"",F240/E240)</x:f>
        <x:v>1165.5881012658228</x:v>
      </x:c>
      <x:c r="AA240" s="18" t="n">
        <x:f>IF(N240=0,"",M240/N240)</x:f>
        <x:v>71.19136363636363</x:v>
      </x:c>
      <x:c r="AB240" s="19" t="n">
        <x:f>IF(E240=0,"",O240/E240)</x:f>
        <x:v>0.11392405063291139</x:v>
      </x:c>
      <x:c r="AC240" s="19" t="n">
        <x:f>IF(E240=0,"",P240/E240)</x:f>
        <x:v>0.02531645569620253</x:v>
      </x:c>
      <x:c r="AD240" s="20" t="n">
        <x:f>IF(Q240=0,"",100*(R240-S240)/Q240)</x:f>
        <x:v>48</x:v>
      </x:c>
      <x:c r="AE240" s="19" t="n">
        <x:f>IF(F240=0,"",G240/F240)</x:f>
        <x:v>0.03555558306742747</x:v>
      </x:c>
      <x:c r="AF240" s="18" t="n">
        <x:f>ROUND(I240-(F240-G240-H240),2)</x:f>
        <x:v>0</x:v>
      </x:c>
    </x:row>
    <x:row r="241" ht="24" customHeight="1">
      <x:c r="A241" s="14" t="n">
        <x:v>45505</x:v>
      </x:c>
      <x:c r="B241" s="2" t="str">
        <x:v>Lojas</x:v>
      </x:c>
      <x:c r="C241" s="2" t="str">
        <x:v>Centro-Oeste</x:v>
      </x:c>
      <x:c r="D241" s="2" t="str">
        <x:v>M-0236</x:v>
      </x:c>
      <x:c r="E241" s="16" t="n">
        <x:v>72</x:v>
      </x:c>
      <x:c r="F241" s="17" t="n">
        <x:v>83528.05</x:v>
      </x:c>
      <x:c r="G241" s="17" t="n">
        <x:v>2969.89</x:v>
      </x:c>
      <x:c r="H241" s="17" t="n">
        <x:v>1628.8</x:v>
      </x:c>
      <x:c r="I241" s="17" t="n">
        <x:v>78929.36</x:v>
      </x:c>
      <x:c r="J241" s="17" t="n">
        <x:v>45148.4</x:v>
      </x:c>
      <x:c r="K241" s="17" t="n">
        <x:v>2999.32</x:v>
      </x:c>
      <x:c r="L241" s="17" t="n">
        <x:v>1894.3</x:v>
      </x:c>
      <x:c r="M241" s="17" t="n">
        <x:v>1420.73</x:v>
      </x:c>
      <x:c r="N241" s="16" t="n">
        <x:v>20</x:v>
      </x:c>
      <x:c r="O241" s="16" t="n">
        <x:v>8</x:v>
      </x:c>
      <x:c r="P241" s="16" t="n">
        <x:v>2</x:v>
      </x:c>
      <x:c r="Q241" s="16" t="n">
        <x:v>23</x:v>
      </x:c>
      <x:c r="R241" s="16" t="n">
        <x:v>14</x:v>
      </x:c>
      <x:c r="S241" s="16" t="n">
        <x:v>4</x:v>
      </x:c>
      <x:c r="T241" s="15" t="n">
        <x:f>YEAR(A241)</x:f>
        <x:v>2024</x:v>
      </x:c>
      <x:c r="U241" s="15" t="n">
        <x:f>ROUNDUP(MONTH(A241)/3,0)</x:f>
        <x:v>3</x:v>
      </x:c>
      <x:c r="V241" s="18" t="n">
        <x:f>I241-J241</x:f>
        <x:v>33780.96</x:v>
      </x:c>
      <x:c r="W241" s="19" t="n">
        <x:f>IF(I241=0,"",V241/I241)</x:f>
        <x:v>0.42798978732375376</x:v>
      </x:c>
      <x:c r="X241" s="18" t="n">
        <x:f>I241-J241-K241-L241-M241</x:f>
        <x:v>27466.61</x:v>
      </x:c>
      <x:c r="Y241" s="19" t="n">
        <x:f>IF(I241=0,"",X241/I241)</x:f>
        <x:v>0.3479897721202858</x:v>
      </x:c>
      <x:c r="Z241" s="18" t="n">
        <x:f>IF(E241=0,"",F241/E241)</x:f>
        <x:v>1160.1118055555555</x:v>
      </x:c>
      <x:c r="AA241" s="18" t="n">
        <x:f>IF(N241=0,"",M241/N241)</x:f>
        <x:v>71.0365</x:v>
      </x:c>
      <x:c r="AB241" s="19" t="n">
        <x:f>IF(E241=0,"",O241/E241)</x:f>
        <x:v>0.1111111111111111</x:v>
      </x:c>
      <x:c r="AC241" s="19" t="n">
        <x:f>IF(E241=0,"",P241/E241)</x:f>
        <x:v>0.027777777777777776</x:v>
      </x:c>
      <x:c r="AD241" s="20" t="n">
        <x:f>IF(Q241=0,"",100*(R241-S241)/Q241)</x:f>
        <x:v>43.47826086956522</x:v>
      </x:c>
      <x:c r="AE241" s="19" t="n">
        <x:f>IF(F241=0,"",G241/F241)</x:f>
        <x:v>0.03555560078320995</x:v>
      </x:c>
      <x:c r="AF241" s="18" t="n">
        <x:f>ROUND(I241-(F241-G241-H241),2)</x:f>
        <x:v>0</x:v>
      </x:c>
    </x:row>
    <x:row r="242" ht="24" customHeight="1">
      <x:c r="A242" s="14" t="n">
        <x:v>45505</x:v>
      </x:c>
      <x:c r="B242" s="2" t="str">
        <x:v>B2B</x:v>
      </x:c>
      <x:c r="C242" s="2" t="str">
        <x:v>Sudeste</x:v>
      </x:c>
      <x:c r="D242" s="2" t="str">
        <x:v>M-0237</x:v>
      </x:c>
      <x:c r="E242" s="16" t="n">
        <x:v>99</x:v>
      </x:c>
      <x:c r="F242" s="17" t="n">
        <x:v>115426.22</x:v>
      </x:c>
      <x:c r="G242" s="17" t="n">
        <x:v>4104.04</x:v>
      </x:c>
      <x:c r="H242" s="17" t="n">
        <x:v>2250.81</x:v>
      </x:c>
      <x:c r="I242" s="17" t="n">
        <x:v>109071.37</x:v>
      </x:c>
      <x:c r="J242" s="17" t="n">
        <x:v>61749.55</x:v>
      </x:c>
      <x:c r="K242" s="17" t="n">
        <x:v>4144.71</x:v>
      </x:c>
      <x:c r="L242" s="17" t="n">
        <x:v>2617.71</x:v>
      </x:c>
      <x:c r="M242" s="17" t="n">
        <x:v>1963.28</x:v>
      </x:c>
      <x:c r="N242" s="16" t="n">
        <x:v>28</x:v>
      </x:c>
      <x:c r="O242" s="16" t="n">
        <x:v>11</x:v>
      </x:c>
      <x:c r="P242" s="16" t="n">
        <x:v>3</x:v>
      </x:c>
      <x:c r="Q242" s="16" t="n">
        <x:v>32</x:v>
      </x:c>
      <x:c r="R242" s="16" t="n">
        <x:v>20</x:v>
      </x:c>
      <x:c r="S242" s="16" t="n">
        <x:v>6</x:v>
      </x:c>
      <x:c r="T242" s="15" t="n">
        <x:f>YEAR(A242)</x:f>
        <x:v>2024</x:v>
      </x:c>
      <x:c r="U242" s="15" t="n">
        <x:f>ROUNDUP(MONTH(A242)/3,0)</x:f>
        <x:v>3</x:v>
      </x:c>
      <x:c r="V242" s="18" t="n">
        <x:f>I242-J242</x:f>
        <x:v>47321.81999999999</x:v>
      </x:c>
      <x:c r="W242" s="19" t="n">
        <x:f>IF(I242=0,"",V242/I242)</x:f>
        <x:v>0.43386105813102005</x:v>
      </x:c>
      <x:c r="X242" s="18" t="n">
        <x:f>I242-J242-K242-L242-M242</x:f>
        <x:v>38596.119999999995</x:v>
      </x:c>
      <x:c r="Y242" s="19" t="n">
        <x:f>IF(I242=0,"",X242/I242)</x:f>
        <x:v>0.35386114614678443</x:v>
      </x:c>
      <x:c r="Z242" s="18" t="n">
        <x:f>IF(E242=0,"",F242/E242)</x:f>
        <x:v>1165.921414141414</x:v>
      </x:c>
      <x:c r="AA242" s="18" t="n">
        <x:f>IF(N242=0,"",M242/N242)</x:f>
        <x:v>70.11714285714285</x:v>
      </x:c>
      <x:c r="AB242" s="19" t="n">
        <x:f>IF(E242=0,"",O242/E242)</x:f>
        <x:v>0.1111111111111111</x:v>
      </x:c>
      <x:c r="AC242" s="19" t="n">
        <x:f>IF(E242=0,"",P242/E242)</x:f>
        <x:v>0.030303030303030304</x:v>
      </x:c>
      <x:c r="AD242" s="20" t="n">
        <x:f>IF(Q242=0,"",100*(R242-S242)/Q242)</x:f>
        <x:v>43.75</x:v>
      </x:c>
      <x:c r="AE242" s="19" t="n">
        <x:f>IF(F242=0,"",G242/F242)</x:f>
        <x:v>0.035555526292033124</x:v>
      </x:c>
      <x:c r="AF242" s="18" t="n">
        <x:f>ROUND(I242-(F242-G242-H242),2)</x:f>
        <x:v>0</x:v>
      </x:c>
    </x:row>
    <x:row r="243" ht="24" customHeight="1">
      <x:c r="A243" s="14" t="n">
        <x:v>45505</x:v>
      </x:c>
      <x:c r="B243" s="2" t="str">
        <x:v>B2B</x:v>
      </x:c>
      <x:c r="C243" s="2" t="str">
        <x:v>Nordeste</x:v>
      </x:c>
      <x:c r="D243" s="2" t="str">
        <x:v>M-0238</x:v>
      </x:c>
      <x:c r="E243" s="16" t="n">
        <x:v>57</x:v>
      </x:c>
      <x:c r="F243" s="17" t="n">
        <x:v>66548.47</x:v>
      </x:c>
      <x:c r="G243" s="17" t="n">
        <x:v>2366.17</x:v>
      </x:c>
      <x:c r="H243" s="17" t="n">
        <x:v>1297.7</x:v>
      </x:c>
      <x:c r="I243" s="17" t="n">
        <x:v>62884.6</x:v>
      </x:c>
      <x:c r="J243" s="17" t="n">
        <x:v>36411.75</x:v>
      </x:c>
      <x:c r="K243" s="17" t="n">
        <x:v>2389.61</x:v>
      </x:c>
      <x:c r="L243" s="17" t="n">
        <x:v>1509.23</x:v>
      </x:c>
      <x:c r="M243" s="17" t="n">
        <x:v>1131.92</x:v>
      </x:c>
      <x:c r="N243" s="16" t="n">
        <x:v>16</x:v>
      </x:c>
      <x:c r="O243" s="16" t="n">
        <x:v>7</x:v>
      </x:c>
      <x:c r="P243" s="16" t="n">
        <x:v>2</x:v>
      </x:c>
      <x:c r="Q243" s="16" t="n">
        <x:v>18</x:v>
      </x:c>
      <x:c r="R243" s="16" t="n">
        <x:v>11</x:v>
      </x:c>
      <x:c r="S243" s="16" t="n">
        <x:v>3</x:v>
      </x:c>
      <x:c r="T243" s="15" t="n">
        <x:f>YEAR(A243)</x:f>
        <x:v>2024</x:v>
      </x:c>
      <x:c r="U243" s="15" t="n">
        <x:f>ROUNDUP(MONTH(A243)/3,0)</x:f>
        <x:v>3</x:v>
      </x:c>
      <x:c r="V243" s="18" t="n">
        <x:f>I243-J243</x:f>
        <x:v>26472.85</x:v>
      </x:c>
      <x:c r="W243" s="19" t="n">
        <x:f>IF(I243=0,"",V243/I243)</x:f>
        <x:v>0.42097508770032727</x:v>
      </x:c>
      <x:c r="X243" s="18" t="n">
        <x:f>I243-J243-K243-L243-M243</x:f>
        <x:v>21442.089999999997</x:v>
      </x:c>
      <x:c r="Y243" s="19" t="n">
        <x:f>IF(I243=0,"",X243/I243)</x:f>
        <x:v>0.3409752149174837</x:v>
      </x:c>
      <x:c r="Z243" s="18" t="n">
        <x:f>IF(E243=0,"",F243/E243)</x:f>
        <x:v>1167.5170175438598</x:v>
      </x:c>
      <x:c r="AA243" s="18" t="n">
        <x:f>IF(N243=0,"",M243/N243)</x:f>
        <x:v>70.745</x:v>
      </x:c>
      <x:c r="AB243" s="19" t="n">
        <x:f>IF(E243=0,"",O243/E243)</x:f>
        <x:v>0.12280701754385964</x:v>
      </x:c>
      <x:c r="AC243" s="19" t="n">
        <x:f>IF(E243=0,"",P243/E243)</x:f>
        <x:v>0.03508771929824561</x:v>
      </x:c>
      <x:c r="AD243" s="20" t="n">
        <x:f>IF(Q243=0,"",100*(R243-S243)/Q243)</x:f>
        <x:v>44.44444444444444</x:v>
      </x:c>
      <x:c r="AE243" s="19" t="n">
        <x:f>IF(F243=0,"",G243/F243)</x:f>
        <x:v>0.035555588280241454</x:v>
      </x:c>
      <x:c r="AF243" s="18" t="n">
        <x:f>ROUND(I243-(F243-G243-H243),2)</x:f>
        <x:v>0</x:v>
      </x:c>
    </x:row>
    <x:row r="244" ht="24" customHeight="1">
      <x:c r="A244" s="14" t="n">
        <x:v>45505</x:v>
      </x:c>
      <x:c r="B244" s="2" t="str">
        <x:v>B2B</x:v>
      </x:c>
      <x:c r="C244" s="2" t="str">
        <x:v>Sul</x:v>
      </x:c>
      <x:c r="D244" s="2" t="str">
        <x:v>M-0239</x:v>
      </x:c>
      <x:c r="E244" s="16" t="n">
        <x:v>45</x:v>
      </x:c>
      <x:c r="F244" s="17" t="n">
        <x:v>52800.6</x:v>
      </x:c>
      <x:c r="G244" s="17" t="n">
        <x:v>1877.35</x:v>
      </x:c>
      <x:c r="H244" s="17" t="n">
        <x:v>1029.61</x:v>
      </x:c>
      <x:c r="I244" s="17" t="n">
        <x:v>49893.64</x:v>
      </x:c>
      <x:c r="J244" s="17" t="n">
        <x:v>28351.41</x:v>
      </x:c>
      <x:c r="K244" s="17" t="n">
        <x:v>1895.96</x:v>
      </x:c>
      <x:c r="L244" s="17" t="n">
        <x:v>1197.45</x:v>
      </x:c>
      <x:c r="M244" s="17" t="n">
        <x:v>898.09</x:v>
      </x:c>
      <x:c r="N244" s="16" t="n">
        <x:v>13</x:v>
      </x:c>
      <x:c r="O244" s="16" t="n">
        <x:v>5</x:v>
      </x:c>
      <x:c r="P244" s="16" t="n">
        <x:v>1</x:v>
      </x:c>
      <x:c r="Q244" s="16" t="n">
        <x:v>14</x:v>
      </x:c>
      <x:c r="R244" s="16" t="n">
        <x:v>9</x:v>
      </x:c>
      <x:c r="S244" s="16" t="n">
        <x:v>2</x:v>
      </x:c>
      <x:c r="T244" s="15" t="n">
        <x:f>YEAR(A244)</x:f>
        <x:v>2024</x:v>
      </x:c>
      <x:c r="U244" s="15" t="n">
        <x:f>ROUNDUP(MONTH(A244)/3,0)</x:f>
        <x:v>3</x:v>
      </x:c>
      <x:c r="V244" s="18" t="n">
        <x:f>I244-J244</x:f>
        <x:v>21542.23</x:v>
      </x:c>
      <x:c r="W244" s="19" t="n">
        <x:f>IF(I244=0,"",V244/I244)</x:f>
        <x:v>0.4317630463522004</x:v>
      </x:c>
      <x:c r="X244" s="18" t="n">
        <x:f>I244-J244-K244-L244-M244</x:f>
        <x:v>17550.73</x:v>
      </x:c>
      <x:c r="Y244" s="19" t="n">
        <x:f>IF(I244=0,"",X244/I244)</x:f>
        <x:v>0.3517628699770151</x:v>
      </x:c>
      <x:c r="Z244" s="18" t="n">
        <x:f>IF(E244=0,"",F244/E244)</x:f>
        <x:v>1173.3466666666666</x:v>
      </x:c>
      <x:c r="AA244" s="18" t="n">
        <x:f>IF(N244=0,"",M244/N244)</x:f>
        <x:v>69.08384615384615</x:v>
      </x:c>
      <x:c r="AB244" s="19" t="n">
        <x:f>IF(E244=0,"",O244/E244)</x:f>
        <x:v>0.1111111111111111</x:v>
      </x:c>
      <x:c r="AC244" s="19" t="n">
        <x:f>IF(E244=0,"",P244/E244)</x:f>
        <x:v>0.022222222222222223</x:v>
      </x:c>
      <x:c r="AD244" s="20" t="n">
        <x:f>IF(Q244=0,"",100*(R244-S244)/Q244)</x:f>
        <x:v>50</x:v>
      </x:c>
      <x:c r="AE244" s="19" t="n">
        <x:f>IF(F244=0,"",G244/F244)</x:f>
        <x:v>0.03555546717272152</x:v>
      </x:c>
      <x:c r="AF244" s="18" t="n">
        <x:f>ROUND(I244-(F244-G244-H244),2)</x:f>
        <x:v>0</x:v>
      </x:c>
    </x:row>
    <x:row r="245" ht="24" customHeight="1">
      <x:c r="A245" s="14" t="n">
        <x:v>45505</x:v>
      </x:c>
      <x:c r="B245" s="2" t="str">
        <x:v>B2B</x:v>
      </x:c>
      <x:c r="C245" s="2" t="str">
        <x:v>Centro-Oeste</x:v>
      </x:c>
      <x:c r="D245" s="2" t="str">
        <x:v>M-0240</x:v>
      </x:c>
      <x:c r="E245" s="16" t="n">
        <x:v>41</x:v>
      </x:c>
      <x:c r="F245" s="17" t="n">
        <x:v>48216.28</x:v>
      </x:c>
      <x:c r="G245" s="17" t="n">
        <x:v>1714.36</x:v>
      </x:c>
      <x:c r="H245" s="17" t="n">
        <x:v>940.22</x:v>
      </x:c>
      <x:c r="I245" s="17" t="n">
        <x:v>45561.7</x:v>
      </x:c>
      <x:c r="J245" s="17" t="n">
        <x:v>26962.3</x:v>
      </x:c>
      <x:c r="K245" s="17" t="n">
        <x:v>1731.34</x:v>
      </x:c>
      <x:c r="L245" s="17" t="n">
        <x:v>1093.48</x:v>
      </x:c>
      <x:c r="M245" s="17" t="n">
        <x:v>820.11</x:v>
      </x:c>
      <x:c r="N245" s="16" t="n">
        <x:v>11</x:v>
      </x:c>
      <x:c r="O245" s="16" t="n">
        <x:v>5</x:v>
      </x:c>
      <x:c r="P245" s="16" t="n">
        <x:v>1</x:v>
      </x:c>
      <x:c r="Q245" s="16" t="n">
        <x:v>13</x:v>
      </x:c>
      <x:c r="R245" s="16" t="n">
        <x:v>8</x:v>
      </x:c>
      <x:c r="S245" s="16" t="n">
        <x:v>2</x:v>
      </x:c>
      <x:c r="T245" s="15" t="n">
        <x:f>YEAR(A245)</x:f>
        <x:v>2024</x:v>
      </x:c>
      <x:c r="U245" s="15" t="n">
        <x:f>ROUNDUP(MONTH(A245)/3,0)</x:f>
        <x:v>3</x:v>
      </x:c>
      <x:c r="V245" s="18" t="n">
        <x:f>I245-J245</x:f>
        <x:v>18599.399999999998</x:v>
      </x:c>
      <x:c r="W245" s="19" t="n">
        <x:f>IF(I245=0,"",V245/I245)</x:f>
        <x:v>0.4082244516776152</x:v>
      </x:c>
      <x:c r="X245" s="18" t="n">
        <x:f>I245-J245-K245-L245-M245</x:f>
        <x:v>14954.469999999998</x:v>
      </x:c>
      <x:c r="Y245" s="19" t="n">
        <x:f>IF(I245=0,"",X245/I245)</x:f>
        <x:v>0.3282245833671702</x:v>
      </x:c>
      <x:c r="Z245" s="18" t="n">
        <x:f>IF(E245=0,"",F245/E245)</x:f>
        <x:v>1176.0068292682927</x:v>
      </x:c>
      <x:c r="AA245" s="18" t="n">
        <x:f>IF(N245=0,"",M245/N245)</x:f>
        <x:v>74.55545454545455</x:v>
      </x:c>
      <x:c r="AB245" s="19" t="n">
        <x:f>IF(E245=0,"",O245/E245)</x:f>
        <x:v>0.12195121951219512</x:v>
      </x:c>
      <x:c r="AC245" s="19" t="n">
        <x:f>IF(E245=0,"",P245/E245)</x:f>
        <x:v>0.024390243902439025</x:v>
      </x:c>
      <x:c r="AD245" s="20" t="n">
        <x:f>IF(Q245=0,"",100*(R245-S245)/Q245)</x:f>
        <x:v>46.15384615384615</x:v>
      </x:c>
      <x:c r="AE245" s="19" t="n">
        <x:f>IF(F245=0,"",G245/F245)</x:f>
        <x:v>0.03555562561027105</x:v>
      </x:c>
      <x:c r="AF245" s="18" t="n">
        <x:f>ROUND(I245-(F245-G245-H245),2)</x:f>
        <x:v>0</x:v>
      </x:c>
    </x:row>
    <x:row r="246" ht="24" customHeight="1">
      <x:c r="A246" s="14" t="n">
        <x:v>45536</x:v>
      </x:c>
      <x:c r="B246" s="2" t="str">
        <x:v>E-commerce</x:v>
      </x:c>
      <x:c r="C246" s="2" t="str">
        <x:v>Sudeste</x:v>
      </x:c>
      <x:c r="D246" s="2" t="str">
        <x:v>M-0241</x:v>
      </x:c>
      <x:c r="E246" s="16" t="n">
        <x:v>170</x:v>
      </x:c>
      <x:c r="F246" s="17" t="n">
        <x:v>198090.03</x:v>
      </x:c>
      <x:c r="G246" s="17" t="n">
        <x:v>7153.25</x:v>
      </x:c>
      <x:c r="H246" s="17" t="n">
        <x:v>3961.8</x:v>
      </x:c>
      <x:c r="I246" s="17" t="n">
        <x:v>186974.98</x:v>
      </x:c>
      <x:c r="J246" s="17" t="n">
        <x:v>111941.42</x:v>
      </x:c>
      <x:c r="K246" s="17" t="n">
        <x:v>11218.5</x:v>
      </x:c>
      <x:c r="L246" s="17" t="n">
        <x:v>4487.4</x:v>
      </x:c>
      <x:c r="M246" s="17" t="n">
        <x:v>14023.12</x:v>
      </x:c>
      <x:c r="N246" s="16" t="n">
        <x:v>88</x:v>
      </x:c>
      <x:c r="O246" s="16" t="n">
        <x:v>20</x:v>
      </x:c>
      <x:c r="P246" s="16" t="n">
        <x:v>5</x:v>
      </x:c>
      <x:c r="Q246" s="16" t="n">
        <x:v>54</x:v>
      </x:c>
      <x:c r="R246" s="16" t="n">
        <x:v>33</x:v>
      </x:c>
      <x:c r="S246" s="16" t="n">
        <x:v>10</x:v>
      </x:c>
      <x:c r="T246" s="15" t="n">
        <x:f>YEAR(A246)</x:f>
        <x:v>2024</x:v>
      </x:c>
      <x:c r="U246" s="15" t="n">
        <x:f>ROUNDUP(MONTH(A246)/3,0)</x:f>
        <x:v>3</x:v>
      </x:c>
      <x:c r="V246" s="18" t="n">
        <x:f>I246-J246</x:f>
        <x:v>75033.56000000001</x:v>
      </x:c>
      <x:c r="W246" s="19" t="n">
        <x:f>IF(I246=0,"",V246/I246)</x:f>
        <x:v>0.4013026769677954</x:v>
      </x:c>
      <x:c r="X246" s="18" t="n">
        <x:f>I246-J246-K246-L246-M246</x:f>
        <x:v>45304.54000000001</x:v>
      </x:c>
      <x:c r="Y246" s="19" t="n">
        <x:f>IF(I246=0,"",X246/I246)</x:f>
        <x:v>0.2423026867017181</x:v>
      </x:c>
      <x:c r="Z246" s="18" t="n">
        <x:f>IF(E246=0,"",F246/E246)</x:f>
        <x:v>1165.2354705882353</x:v>
      </x:c>
      <x:c r="AA246" s="18" t="n">
        <x:f>IF(N246=0,"",M246/N246)</x:f>
        <x:v>159.35363636363638</x:v>
      </x:c>
      <x:c r="AB246" s="19" t="n">
        <x:f>IF(E246=0,"",O246/E246)</x:f>
        <x:v>0.11764705882352941</x:v>
      </x:c>
      <x:c r="AC246" s="19" t="n">
        <x:f>IF(E246=0,"",P246/E246)</x:f>
        <x:v>0.029411764705882353</x:v>
      </x:c>
      <x:c r="AD246" s="20" t="n">
        <x:f>IF(Q246=0,"",100*(R246-S246)/Q246)</x:f>
        <x:v>42.592592592592595</x:v>
      </x:c>
      <x:c r="AE246" s="19" t="n">
        <x:f>IF(F246=0,"",G246/F246)</x:f>
        <x:v>0.03611110564221733</x:v>
      </x:c>
      <x:c r="AF246" s="18" t="n">
        <x:f>ROUND(I246-(F246-G246-H246),2)</x:f>
        <x:v>0</x:v>
      </x:c>
    </x:row>
    <x:row r="247" ht="24" customHeight="1">
      <x:c r="A247" s="14" t="n">
        <x:v>45536</x:v>
      </x:c>
      <x:c r="B247" s="2" t="str">
        <x:v>E-commerce</x:v>
      </x:c>
      <x:c r="C247" s="2" t="str">
        <x:v>Nordeste</x:v>
      </x:c>
      <x:c r="D247" s="2" t="str">
        <x:v>M-0242</x:v>
      </x:c>
      <x:c r="E247" s="16" t="n">
        <x:v>114</x:v>
      </x:c>
      <x:c r="F247" s="17" t="n">
        <x:v>132443.71</x:v>
      </x:c>
      <x:c r="G247" s="17" t="n">
        <x:v>4782.69</x:v>
      </x:c>
      <x:c r="H247" s="17" t="n">
        <x:v>2648.87</x:v>
      </x:c>
      <x:c r="I247" s="17" t="n">
        <x:v>125012.15</x:v>
      </x:c>
      <x:c r="J247" s="17" t="n">
        <x:v>72248.45</x:v>
      </x:c>
      <x:c r="K247" s="17" t="n">
        <x:v>7500.73</x:v>
      </x:c>
      <x:c r="L247" s="17" t="n">
        <x:v>3000.29</x:v>
      </x:c>
      <x:c r="M247" s="17" t="n">
        <x:v>9375.91</x:v>
      </x:c>
      <x:c r="N247" s="16" t="n">
        <x:v>59</x:v>
      </x:c>
      <x:c r="O247" s="16" t="n">
        <x:v>14</x:v>
      </x:c>
      <x:c r="P247" s="16" t="n">
        <x:v>3</x:v>
      </x:c>
      <x:c r="Q247" s="16" t="n">
        <x:v>36</x:v>
      </x:c>
      <x:c r="R247" s="16" t="n">
        <x:v>22</x:v>
      </x:c>
      <x:c r="S247" s="16" t="n">
        <x:v>6</x:v>
      </x:c>
      <x:c r="T247" s="15" t="n">
        <x:f>YEAR(A247)</x:f>
        <x:v>2024</x:v>
      </x:c>
      <x:c r="U247" s="15" t="n">
        <x:f>ROUNDUP(MONTH(A247)/3,0)</x:f>
        <x:v>3</x:v>
      </x:c>
      <x:c r="V247" s="18" t="n">
        <x:f>I247-J247</x:f>
        <x:v>52763.7</x:v>
      </x:c>
      <x:c r="W247" s="19" t="n">
        <x:f>IF(I247=0,"",V247/I247)</x:f>
        <x:v>0.4220685749345164</x:v>
      </x:c>
      <x:c r="X247" s="18" t="n">
        <x:f>I247-J247-K247-L247-M247</x:f>
        <x:v>32886.770000000004</x:v>
      </x:c>
      <x:c r="Y247" s="19" t="n">
        <x:f>IF(I247=0,"",X247/I247)</x:f>
        <x:v>0.263068589733078</x:v>
      </x:c>
      <x:c r="Z247" s="18" t="n">
        <x:f>IF(E247=0,"",F247/E247)</x:f>
        <x:v>1161.7869298245614</x:v>
      </x:c>
      <x:c r="AA247" s="18" t="n">
        <x:f>IF(N247=0,"",M247/N247)</x:f>
        <x:v>158.91372881355932</x:v>
      </x:c>
      <x:c r="AB247" s="19" t="n">
        <x:f>IF(E247=0,"",O247/E247)</x:f>
        <x:v>0.12280701754385964</x:v>
      </x:c>
      <x:c r="AC247" s="19" t="n">
        <x:f>IF(E247=0,"",P247/E247)</x:f>
        <x:v>0.02631578947368421</x:v>
      </x:c>
      <x:c r="AD247" s="20" t="n">
        <x:f>IF(Q247=0,"",100*(R247-S247)/Q247)</x:f>
        <x:v>44.44444444444444</x:v>
      </x:c>
      <x:c r="AE247" s="19" t="n">
        <x:f>IF(F247=0,"",G247/F247)</x:f>
        <x:v>0.03611111467656712</x:v>
      </x:c>
      <x:c r="AF247" s="18" t="n">
        <x:f>ROUND(I247-(F247-G247-H247),2)</x:f>
        <x:v>0</x:v>
      </x:c>
    </x:row>
    <x:row r="248" ht="24" customHeight="1">
      <x:c r="A248" s="14" t="n">
        <x:v>45536</x:v>
      </x:c>
      <x:c r="B248" s="2" t="str">
        <x:v>E-commerce</x:v>
      </x:c>
      <x:c r="C248" s="2" t="str">
        <x:v>Sul</x:v>
      </x:c>
      <x:c r="D248" s="2" t="str">
        <x:v>M-0243</x:v>
      </x:c>
      <x:c r="E248" s="16" t="n">
        <x:v>94</x:v>
      </x:c>
      <x:c r="F248" s="17" t="n">
        <x:v>109649.89</x:v>
      </x:c>
      <x:c r="G248" s="17" t="n">
        <x:v>3959.58</x:v>
      </x:c>
      <x:c r="H248" s="17" t="n">
        <x:v>2193</x:v>
      </x:c>
      <x:c r="I248" s="17" t="n">
        <x:v>103497.31</x:v>
      </x:c>
      <x:c r="J248" s="17" t="n">
        <x:v>59918.56</x:v>
      </x:c>
      <x:c r="K248" s="17" t="n">
        <x:v>6209.84</x:v>
      </x:c>
      <x:c r="L248" s="17" t="n">
        <x:v>2483.94</x:v>
      </x:c>
      <x:c r="M248" s="17" t="n">
        <x:v>7762.3</x:v>
      </x:c>
      <x:c r="N248" s="16" t="n">
        <x:v>49</x:v>
      </x:c>
      <x:c r="O248" s="16" t="n">
        <x:v>11</x:v>
      </x:c>
      <x:c r="P248" s="16" t="n">
        <x:v>3</x:v>
      </x:c>
      <x:c r="Q248" s="16" t="n">
        <x:v>30</x:v>
      </x:c>
      <x:c r="R248" s="16" t="n">
        <x:v>19</x:v>
      </x:c>
      <x:c r="S248" s="16" t="n">
        <x:v>5</x:v>
      </x:c>
      <x:c r="T248" s="15" t="n">
        <x:f>YEAR(A248)</x:f>
        <x:v>2024</x:v>
      </x:c>
      <x:c r="U248" s="15" t="n">
        <x:f>ROUNDUP(MONTH(A248)/3,0)</x:f>
        <x:v>3</x:v>
      </x:c>
      <x:c r="V248" s="18" t="n">
        <x:f>I248-J248</x:f>
        <x:v>43578.75</x:v>
      </x:c>
      <x:c r="W248" s="19" t="n">
        <x:f>IF(I248=0,"",V248/I248)</x:f>
        <x:v>0.421061668172825</x:v>
      </x:c>
      <x:c r="X248" s="18" t="n">
        <x:f>I248-J248-K248-L248-M248</x:f>
        <x:v>27122.670000000002</x:v>
      </x:c>
      <x:c r="Y248" s="19" t="n">
        <x:f>IF(I248=0,"",X248/I248)</x:f>
        <x:v>0.26206159367813525</x:v>
      </x:c>
      <x:c r="Z248" s="18" t="n">
        <x:f>IF(E248=0,"",F248/E248)</x:f>
        <x:v>1166.4881914893617</x:v>
      </x:c>
      <x:c r="AA248" s="18" t="n">
        <x:f>IF(N248=0,"",M248/N248)</x:f>
        <x:v>158.4142857142857</x:v>
      </x:c>
      <x:c r="AB248" s="19" t="n">
        <x:f>IF(E248=0,"",O248/E248)</x:f>
        <x:v>0.11702127659574468</x:v>
      </x:c>
      <x:c r="AC248" s="19" t="n">
        <x:f>IF(E248=0,"",P248/E248)</x:f>
        <x:v>0.031914893617021274</x:v>
      </x:c>
      <x:c r="AD248" s="20" t="n">
        <x:f>IF(Q248=0,"",100*(R248-S248)/Q248)</x:f>
        <x:v>46.666666666666664</x:v>
      </x:c>
      <x:c r="AE248" s="19" t="n">
        <x:f>IF(F248=0,"",G248/F248)</x:f>
        <x:v>0.03611111693773701</x:v>
      </x:c>
      <x:c r="AF248" s="18" t="n">
        <x:f>ROUND(I248-(F248-G248-H248),2)</x:f>
        <x:v>0</x:v>
      </x:c>
    </x:row>
    <x:row r="249" ht="24" customHeight="1">
      <x:c r="A249" s="14" t="n">
        <x:v>45536</x:v>
      </x:c>
      <x:c r="B249" s="2" t="str">
        <x:v>E-commerce</x:v>
      </x:c>
      <x:c r="C249" s="2" t="str">
        <x:v>Centro-Oeste</x:v>
      </x:c>
      <x:c r="D249" s="2" t="str">
        <x:v>M-0244</x:v>
      </x:c>
      <x:c r="E249" s="16" t="n">
        <x:v>88</x:v>
      </x:c>
      <x:c r="F249" s="17" t="n">
        <x:v>102365.39</x:v>
      </x:c>
      <x:c r="G249" s="17" t="n">
        <x:v>3696.53</x:v>
      </x:c>
      <x:c r="H249" s="17" t="n">
        <x:v>2047.31</x:v>
      </x:c>
      <x:c r="I249" s="17" t="n">
        <x:v>96621.55</x:v>
      </x:c>
      <x:c r="J249" s="17" t="n">
        <x:v>58373.81</x:v>
      </x:c>
      <x:c r="K249" s="17" t="n">
        <x:v>5797.29</x:v>
      </x:c>
      <x:c r="L249" s="17" t="n">
        <x:v>2318.92</x:v>
      </x:c>
      <x:c r="M249" s="17" t="n">
        <x:v>7246.62</x:v>
      </x:c>
      <x:c r="N249" s="16" t="n">
        <x:v>46</x:v>
      </x:c>
      <x:c r="O249" s="16" t="n">
        <x:v>11</x:v>
      </x:c>
      <x:c r="P249" s="16" t="n">
        <x:v>2</x:v>
      </x:c>
      <x:c r="Q249" s="16" t="n">
        <x:v>28</x:v>
      </x:c>
      <x:c r="R249" s="16" t="n">
        <x:v>17</x:v>
      </x:c>
      <x:c r="S249" s="16" t="n">
        <x:v>5</x:v>
      </x:c>
      <x:c r="T249" s="15" t="n">
        <x:f>YEAR(A249)</x:f>
        <x:v>2024</x:v>
      </x:c>
      <x:c r="U249" s="15" t="n">
        <x:f>ROUNDUP(MONTH(A249)/3,0)</x:f>
        <x:v>3</x:v>
      </x:c>
      <x:c r="V249" s="18" t="n">
        <x:f>I249-J249</x:f>
        <x:v>38247.740000000005</x:v>
      </x:c>
      <x:c r="W249" s="19" t="n">
        <x:f>IF(I249=0,"",V249/I249)</x:f>
        <x:v>0.39585102909237124</x:v>
      </x:c>
      <x:c r="X249" s="18" t="n">
        <x:f>I249-J249-K249-L249-M249</x:f>
        <x:v>22884.910000000007</x:v>
      </x:c>
      <x:c r="Y249" s="19" t="n">
        <x:f>IF(I249=0,"",X249/I249)</x:f>
        <x:v>0.2368509923510853</x:v>
      </x:c>
      <x:c r="Z249" s="18" t="n">
        <x:f>IF(E249=0,"",F249/E249)</x:f>
        <x:v>1163.2430681818182</x:v>
      </x:c>
      <x:c r="AA249" s="18" t="n">
        <x:f>IF(N249=0,"",M249/N249)</x:f>
        <x:v>157.53521739130434</x:v>
      </x:c>
      <x:c r="AB249" s="19" t="n">
        <x:f>IF(E249=0,"",O249/E249)</x:f>
        <x:v>0.125</x:v>
      </x:c>
      <x:c r="AC249" s="19" t="n">
        <x:f>IF(E249=0,"",P249/E249)</x:f>
        <x:v>0.022727272727272728</x:v>
      </x:c>
      <x:c r="AD249" s="20" t="n">
        <x:f>IF(Q249=0,"",100*(R249-S249)/Q249)</x:f>
        <x:v>42.857142857142854</x:v>
      </x:c>
      <x:c r="AE249" s="19" t="n">
        <x:f>IF(F249=0,"",G249/F249)</x:f>
        <x:v>0.03611113092032375</x:v>
      </x:c>
      <x:c r="AF249" s="18" t="n">
        <x:f>ROUND(I249-(F249-G249-H249),2)</x:f>
        <x:v>0</x:v>
      </x:c>
    </x:row>
    <x:row r="250" ht="24" customHeight="1">
      <x:c r="A250" s="14" t="n">
        <x:v>45536</x:v>
      </x:c>
      <x:c r="B250" s="2" t="str">
        <x:v>Lojas</x:v>
      </x:c>
      <x:c r="C250" s="2" t="str">
        <x:v>Sudeste</x:v>
      </x:c>
      <x:c r="D250" s="2" t="str">
        <x:v>M-0245</x:v>
      </x:c>
      <x:c r="E250" s="16" t="n">
        <x:v>166</x:v>
      </x:c>
      <x:c r="F250" s="17" t="n">
        <x:v>193392.32</x:v>
      </x:c>
      <x:c r="G250" s="17" t="n">
        <x:v>6983.61</x:v>
      </x:c>
      <x:c r="H250" s="17" t="n">
        <x:v>3867.85</x:v>
      </x:c>
      <x:c r="I250" s="17" t="n">
        <x:v>182540.86</x:v>
      </x:c>
      <x:c r="J250" s="17" t="n">
        <x:v>101918.48</x:v>
      </x:c>
      <x:c r="K250" s="17" t="n">
        <x:v>7119.09</x:v>
      </x:c>
      <x:c r="L250" s="17" t="n">
        <x:v>4380.98</x:v>
      </x:c>
      <x:c r="M250" s="17" t="n">
        <x:v>3285.74</x:v>
      </x:c>
      <x:c r="N250" s="16" t="n">
        <x:v>46</x:v>
      </x:c>
      <x:c r="O250" s="16" t="n">
        <x:v>20</x:v>
      </x:c>
      <x:c r="P250" s="16" t="n">
        <x:v>5</x:v>
      </x:c>
      <x:c r="Q250" s="16" t="n">
        <x:v>53</x:v>
      </x:c>
      <x:c r="R250" s="16" t="n">
        <x:v>33</x:v>
      </x:c>
      <x:c r="S250" s="16" t="n">
        <x:v>10</x:v>
      </x:c>
      <x:c r="T250" s="15" t="n">
        <x:f>YEAR(A250)</x:f>
        <x:v>2024</x:v>
      </x:c>
      <x:c r="U250" s="15" t="n">
        <x:f>ROUNDUP(MONTH(A250)/3,0)</x:f>
        <x:v>3</x:v>
      </x:c>
      <x:c r="V250" s="18" t="n">
        <x:f>I250-J250</x:f>
        <x:v>80622.37999999999</x:v>
      </x:c>
      <x:c r="W250" s="19" t="n">
        <x:f>IF(I250=0,"",V250/I250)</x:f>
        <x:v>0.441667580617293</x:v>
      </x:c>
      <x:c r="X250" s="18" t="n">
        <x:f>I250-J250-K250-L250-M250</x:f>
        <x:v>65836.56999999999</x:v>
      </x:c>
      <x:c r="Y250" s="19" t="n">
        <x:f>IF(I250=0,"",X250/I250)</x:f>
        <x:v>0.36066757875469635</x:v>
      </x:c>
      <x:c r="Z250" s="18" t="n">
        <x:f>IF(E250=0,"",F250/E250)</x:f>
        <x:v>1165.0139759036144</x:v>
      </x:c>
      <x:c r="AA250" s="18" t="n">
        <x:f>IF(N250=0,"",M250/N250)</x:f>
        <x:v>71.4291304347826</x:v>
      </x:c>
      <x:c r="AB250" s="19" t="n">
        <x:f>IF(E250=0,"",O250/E250)</x:f>
        <x:v>0.12048192771084337</x:v>
      </x:c>
      <x:c r="AC250" s="19" t="n">
        <x:f>IF(E250=0,"",P250/E250)</x:f>
        <x:v>0.030120481927710843</x:v>
      </x:c>
      <x:c r="AD250" s="20" t="n">
        <x:f>IF(Q250=0,"",100*(R250-S250)/Q250)</x:f>
        <x:v>43.39622641509434</x:v>
      </x:c>
      <x:c r="AE250" s="19" t="n">
        <x:f>IF(F250=0,"",G250/F250)</x:f>
        <x:v>0.036111103067588204</x:v>
      </x:c>
      <x:c r="AF250" s="18" t="n">
        <x:f>ROUND(I250-(F250-G250-H250),2)</x:f>
        <x:v>0</x:v>
      </x:c>
    </x:row>
    <x:row r="251" ht="24" customHeight="1">
      <x:c r="A251" s="14" t="n">
        <x:v>45536</x:v>
      </x:c>
      <x:c r="B251" s="2" t="str">
        <x:v>Lojas</x:v>
      </x:c>
      <x:c r="C251" s="2" t="str">
        <x:v>Nordeste</x:v>
      </x:c>
      <x:c r="D251" s="2" t="str">
        <x:v>M-0246</x:v>
      </x:c>
      <x:c r="E251" s="16" t="n">
        <x:v>100</x:v>
      </x:c>
      <x:c r="F251" s="17" t="n">
        <x:v>116240.69</x:v>
      </x:c>
      <x:c r="G251" s="17" t="n">
        <x:v>4197.58</x:v>
      </x:c>
      <x:c r="H251" s="17" t="n">
        <x:v>2324.81</x:v>
      </x:c>
      <x:c r="I251" s="17" t="n">
        <x:v>109718.3</x:v>
      </x:c>
      <x:c r="J251" s="17" t="n">
        <x:v>64729.76</x:v>
      </x:c>
      <x:c r="K251" s="17" t="n">
        <x:v>4279.01</x:v>
      </x:c>
      <x:c r="L251" s="17" t="n">
        <x:v>2633.24</x:v>
      </x:c>
      <x:c r="M251" s="17" t="n">
        <x:v>1974.93</x:v>
      </x:c>
      <x:c r="N251" s="16" t="n">
        <x:v>28</x:v>
      </x:c>
      <x:c r="O251" s="16" t="n">
        <x:v>12</x:v>
      </x:c>
      <x:c r="P251" s="16" t="n">
        <x:v>3</x:v>
      </x:c>
      <x:c r="Q251" s="16" t="n">
        <x:v>32</x:v>
      </x:c>
      <x:c r="R251" s="16" t="n">
        <x:v>20</x:v>
      </x:c>
      <x:c r="S251" s="16" t="n">
        <x:v>6</x:v>
      </x:c>
      <x:c r="T251" s="15" t="n">
        <x:f>YEAR(A251)</x:f>
        <x:v>2024</x:v>
      </x:c>
      <x:c r="U251" s="15" t="n">
        <x:f>ROUNDUP(MONTH(A251)/3,0)</x:f>
        <x:v>3</x:v>
      </x:c>
      <x:c r="V251" s="18" t="n">
        <x:f>I251-J251</x:f>
        <x:v>44988.54</x:v>
      </x:c>
      <x:c r="W251" s="19" t="n">
        <x:f>IF(I251=0,"",V251/I251)</x:f>
        <x:v>0.41003679422666955</x:v>
      </x:c>
      <x:c r="X251" s="18" t="n">
        <x:f>I251-J251-K251-L251-M251</x:f>
        <x:v>36101.36</x:v>
      </x:c>
      <x:c r="Y251" s="19" t="n">
        <x:f>IF(I251=0,"",X251/I251)</x:f>
        <x:v>0.3290368151894442</x:v>
      </x:c>
      <x:c r="Z251" s="18" t="n">
        <x:f>IF(E251=0,"",F251/E251)</x:f>
        <x:v>1162.4069</x:v>
      </x:c>
      <x:c r="AA251" s="18" t="n">
        <x:f>IF(N251=0,"",M251/N251)</x:f>
        <x:v>70.5332142857143</x:v>
      </x:c>
      <x:c r="AB251" s="19" t="n">
        <x:f>IF(E251=0,"",O251/E251)</x:f>
        <x:v>0.12</x:v>
      </x:c>
      <x:c r="AC251" s="19" t="n">
        <x:f>IF(E251=0,"",P251/E251)</x:f>
        <x:v>0.03</x:v>
      </x:c>
      <x:c r="AD251" s="20" t="n">
        <x:f>IF(Q251=0,"",100*(R251-S251)/Q251)</x:f>
        <x:v>43.75</x:v>
      </x:c>
      <x:c r="AE251" s="19" t="n">
        <x:f>IF(F251=0,"",G251/F251)</x:f>
        <x:v>0.03611110704865912</x:v>
      </x:c>
      <x:c r="AF251" s="18" t="n">
        <x:f>ROUND(I251-(F251-G251-H251),2)</x:f>
        <x:v>0</x:v>
      </x:c>
    </x:row>
    <x:row r="252" ht="24" customHeight="1">
      <x:c r="A252" s="14" t="n">
        <x:v>45536</x:v>
      </x:c>
      <x:c r="B252" s="2" t="str">
        <x:v>Lojas</x:v>
      </x:c>
      <x:c r="C252" s="2" t="str">
        <x:v>Sul</x:v>
      </x:c>
      <x:c r="D252" s="2" t="str">
        <x:v>M-0247</x:v>
      </x:c>
      <x:c r="E252" s="16" t="n">
        <x:v>77</x:v>
      </x:c>
      <x:c r="F252" s="17" t="n">
        <x:v>90063.47</x:v>
      </x:c>
      <x:c r="G252" s="17" t="n">
        <x:v>3252.29</x:v>
      </x:c>
      <x:c r="H252" s="17" t="n">
        <x:v>1801.27</x:v>
      </x:c>
      <x:c r="I252" s="17" t="n">
        <x:v>85009.91</x:v>
      </x:c>
      <x:c r="J252" s="17" t="n">
        <x:v>48279.79</x:v>
      </x:c>
      <x:c r="K252" s="17" t="n">
        <x:v>3315.39</x:v>
      </x:c>
      <x:c r="L252" s="17" t="n">
        <x:v>2040.24</x:v>
      </x:c>
      <x:c r="M252" s="17" t="n">
        <x:v>1530.18</x:v>
      </x:c>
      <x:c r="N252" s="16" t="n">
        <x:v>22</x:v>
      </x:c>
      <x:c r="O252" s="16" t="n">
        <x:v>9</x:v>
      </x:c>
      <x:c r="P252" s="16" t="n">
        <x:v>2</x:v>
      </x:c>
      <x:c r="Q252" s="16" t="n">
        <x:v>25</x:v>
      </x:c>
      <x:c r="R252" s="16" t="n">
        <x:v>16</x:v>
      </x:c>
      <x:c r="S252" s="16" t="n">
        <x:v>4</x:v>
      </x:c>
      <x:c r="T252" s="15" t="n">
        <x:f>YEAR(A252)</x:f>
        <x:v>2024</x:v>
      </x:c>
      <x:c r="U252" s="15" t="n">
        <x:f>ROUNDUP(MONTH(A252)/3,0)</x:f>
        <x:v>3</x:v>
      </x:c>
      <x:c r="V252" s="18" t="n">
        <x:f>I252-J252</x:f>
        <x:v>36730.12</x:v>
      </x:c>
      <x:c r="W252" s="19" t="n">
        <x:f>IF(I252=0,"",V252/I252)</x:f>
        <x:v>0.43206868469805465</x:v>
      </x:c>
      <x:c r="X252" s="18" t="n">
        <x:f>I252-J252-K252-L252-M252</x:f>
        <x:v>29844.31</x:v>
      </x:c>
      <x:c r="Y252" s="19" t="n">
        <x:f>IF(I252=0,"",X252/I252)</x:f>
        <x:v>0.35106859894334674</x:v>
      </x:c>
      <x:c r="Z252" s="18" t="n">
        <x:f>IF(E252=0,"",F252/E252)</x:f>
        <x:v>1169.6554545454546</x:v>
      </x:c>
      <x:c r="AA252" s="18" t="n">
        <x:f>IF(N252=0,"",M252/N252)</x:f>
        <x:v>69.55363636363637</x:v>
      </x:c>
      <x:c r="AB252" s="19" t="n">
        <x:f>IF(E252=0,"",O252/E252)</x:f>
        <x:v>0.11688311688311688</x:v>
      </x:c>
      <x:c r="AC252" s="19" t="n">
        <x:f>IF(E252=0,"",P252/E252)</x:f>
        <x:v>0.025974025974025976</x:v>
      </x:c>
      <x:c r="AD252" s="20" t="n">
        <x:f>IF(Q252=0,"",100*(R252-S252)/Q252)</x:f>
        <x:v>48</x:v>
      </x:c>
      <x:c r="AE252" s="19" t="n">
        <x:f>IF(F252=0,"",G252/F252)</x:f>
        <x:v>0.036111089212973915</x:v>
      </x:c>
      <x:c r="AF252" s="18" t="n">
        <x:f>ROUND(I252-(F252-G252-H252),2)</x:f>
        <x:v>0</x:v>
      </x:c>
    </x:row>
    <x:row r="253" ht="24" customHeight="1">
      <x:c r="A253" s="14" t="n">
        <x:v>45536</x:v>
      </x:c>
      <x:c r="B253" s="2" t="str">
        <x:v>Lojas</x:v>
      </x:c>
      <x:c r="C253" s="2" t="str">
        <x:v>Centro-Oeste</x:v>
      </x:c>
      <x:c r="D253" s="2" t="str">
        <x:v>M-0248</x:v>
      </x:c>
      <x:c r="E253" s="16" t="n">
        <x:v>68</x:v>
      </x:c>
      <x:c r="F253" s="17" t="n">
        <x:v>79198.14</x:v>
      </x:c>
      <x:c r="G253" s="17" t="n">
        <x:v>2859.93</x:v>
      </x:c>
      <x:c r="H253" s="17" t="n">
        <x:v>1583.96</x:v>
      </x:c>
      <x:c r="I253" s="17" t="n">
        <x:v>74754.25</x:v>
      </x:c>
      <x:c r="J253" s="17" t="n">
        <x:v>42970.11</x:v>
      </x:c>
      <x:c r="K253" s="17" t="n">
        <x:v>2915.42</x:v>
      </x:c>
      <x:c r="L253" s="17" t="n">
        <x:v>1794.1</x:v>
      </x:c>
      <x:c r="M253" s="17" t="n">
        <x:v>1345.58</x:v>
      </x:c>
      <x:c r="N253" s="16" t="n">
        <x:v>19</x:v>
      </x:c>
      <x:c r="O253" s="16" t="n">
        <x:v>8</x:v>
      </x:c>
      <x:c r="P253" s="16" t="n">
        <x:v>2</x:v>
      </x:c>
      <x:c r="Q253" s="16" t="n">
        <x:v>22</x:v>
      </x:c>
      <x:c r="R253" s="16" t="n">
        <x:v>14</x:v>
      </x:c>
      <x:c r="S253" s="16" t="n">
        <x:v>4</x:v>
      </x:c>
      <x:c r="T253" s="15" t="n">
        <x:f>YEAR(A253)</x:f>
        <x:v>2024</x:v>
      </x:c>
      <x:c r="U253" s="15" t="n">
        <x:f>ROUNDUP(MONTH(A253)/3,0)</x:f>
        <x:v>3</x:v>
      </x:c>
      <x:c r="V253" s="18" t="n">
        <x:f>I253-J253</x:f>
        <x:v>31784.14</x:v>
      </x:c>
      <x:c r="W253" s="19" t="n">
        <x:f>IF(I253=0,"",V253/I253)</x:f>
        <x:v>0.4251817120765709</x:v>
      </x:c>
      <x:c r="X253" s="18" t="n">
        <x:f>I253-J253-K253-L253-M253</x:f>
        <x:v>25729.04</x:v>
      </x:c>
      <x:c r="Y253" s="19" t="n">
        <x:f>IF(I253=0,"",X253/I253)</x:f>
        <x:v>0.3441816351578673</x:v>
      </x:c>
      <x:c r="Z253" s="18" t="n">
        <x:f>IF(E253=0,"",F253/E253)</x:f>
        <x:v>1164.6785294117647</x:v>
      </x:c>
      <x:c r="AA253" s="18" t="n">
        <x:f>IF(N253=0,"",M253/N253)</x:f>
        <x:v>70.82</x:v>
      </x:c>
      <x:c r="AB253" s="19" t="n">
        <x:f>IF(E253=0,"",O253/E253)</x:f>
        <x:v>0.11764705882352941</x:v>
      </x:c>
      <x:c r="AC253" s="19" t="n">
        <x:f>IF(E253=0,"",P253/E253)</x:f>
        <x:v>0.029411764705882353</x:v>
      </x:c>
      <x:c r="AD253" s="20" t="n">
        <x:f>IF(Q253=0,"",100*(R253-S253)/Q253)</x:f>
        <x:v>45.45454545454545</x:v>
      </x:c>
      <x:c r="AE253" s="19" t="n">
        <x:f>IF(F253=0,"",G253/F253)</x:f>
        <x:v>0.03611107533586016</x:v>
      </x:c>
      <x:c r="AF253" s="18" t="n">
        <x:f>ROUND(I253-(F253-G253-H253),2)</x:f>
        <x:v>0</x:v>
      </x:c>
    </x:row>
    <x:row r="254" ht="24" customHeight="1">
      <x:c r="A254" s="14" t="n">
        <x:v>45536</x:v>
      </x:c>
      <x:c r="B254" s="2" t="str">
        <x:v>B2B</x:v>
      </x:c>
      <x:c r="C254" s="2" t="str">
        <x:v>Sudeste</x:v>
      </x:c>
      <x:c r="D254" s="2" t="str">
        <x:v>M-0249</x:v>
      </x:c>
      <x:c r="E254" s="16" t="n">
        <x:v>101</x:v>
      </x:c>
      <x:c r="F254" s="17" t="n">
        <x:v>117765.05</x:v>
      </x:c>
      <x:c r="G254" s="17" t="n">
        <x:v>4252.63</x:v>
      </x:c>
      <x:c r="H254" s="17" t="n">
        <x:v>2355.3</x:v>
      </x:c>
      <x:c r="I254" s="17" t="n">
        <x:v>111157.12</x:v>
      </x:c>
      <x:c r="J254" s="17" t="n">
        <x:v>61719.05</x:v>
      </x:c>
      <x:c r="K254" s="17" t="n">
        <x:v>4335.13</x:v>
      </x:c>
      <x:c r="L254" s="17" t="n">
        <x:v>2667.77</x:v>
      </x:c>
      <x:c r="M254" s="17" t="n">
        <x:v>2000.83</x:v>
      </x:c>
      <x:c r="N254" s="16" t="n">
        <x:v>28</x:v>
      </x:c>
      <x:c r="O254" s="16" t="n">
        <x:v>12</x:v>
      </x:c>
      <x:c r="P254" s="16" t="n">
        <x:v>3</x:v>
      </x:c>
      <x:c r="Q254" s="16" t="n">
        <x:v>32</x:v>
      </x:c>
      <x:c r="R254" s="16" t="n">
        <x:v>20</x:v>
      </x:c>
      <x:c r="S254" s="16" t="n">
        <x:v>6</x:v>
      </x:c>
      <x:c r="T254" s="15" t="n">
        <x:f>YEAR(A254)</x:f>
        <x:v>2024</x:v>
      </x:c>
      <x:c r="U254" s="15" t="n">
        <x:f>ROUNDUP(MONTH(A254)/3,0)</x:f>
        <x:v>3</x:v>
      </x:c>
      <x:c r="V254" s="18" t="n">
        <x:f>I254-J254</x:f>
        <x:v>49438.06999999999</x:v>
      </x:c>
      <x:c r="W254" s="19" t="n">
        <x:f>IF(I254=0,"",V254/I254)</x:f>
        <x:v>0.44475846441505495</x:v>
      </x:c>
      <x:c r="X254" s="18" t="n">
        <x:f>I254-J254-K254-L254-M254</x:f>
        <x:v>40434.34</x:v>
      </x:c>
      <x:c r="Y254" s="19" t="n">
        <x:f>IF(I254=0,"",X254/I254)</x:f>
        <x:v>0.36375843490727355</x:v>
      </x:c>
      <x:c r="Z254" s="18" t="n">
        <x:f>IF(E254=0,"",F254/E254)</x:f>
        <x:v>1165.990594059406</x:v>
      </x:c>
      <x:c r="AA254" s="18" t="n">
        <x:f>IF(N254=0,"",M254/N254)</x:f>
        <x:v>71.45821428571428</x:v>
      </x:c>
      <x:c r="AB254" s="19" t="n">
        <x:f>IF(E254=0,"",O254/E254)</x:f>
        <x:v>0.1188118811881188</x:v>
      </x:c>
      <x:c r="AC254" s="19" t="n">
        <x:f>IF(E254=0,"",P254/E254)</x:f>
        <x:v>0.0297029702970297</x:v>
      </x:c>
      <x:c r="AD254" s="20" t="n">
        <x:f>IF(Q254=0,"",100*(R254-S254)/Q254)</x:f>
        <x:v>43.75</x:v>
      </x:c>
      <x:c r="AE254" s="19" t="n">
        <x:f>IF(F254=0,"",G254/F254)</x:f>
        <x:v>0.03611113823668397</x:v>
      </x:c>
      <x:c r="AF254" s="18" t="n">
        <x:f>ROUND(I254-(F254-G254-H254),2)</x:f>
        <x:v>0</x:v>
      </x:c>
    </x:row>
    <x:row r="255" ht="24" customHeight="1">
      <x:c r="A255" s="14" t="n">
        <x:v>45536</x:v>
      </x:c>
      <x:c r="B255" s="2" t="str">
        <x:v>B2B</x:v>
      </x:c>
      <x:c r="C255" s="2" t="str">
        <x:v>Nordeste</x:v>
      </x:c>
      <x:c r="D255" s="2" t="str">
        <x:v>M-0250</x:v>
      </x:c>
      <x:c r="E255" s="16" t="n">
        <x:v>69</x:v>
      </x:c>
      <x:c r="F255" s="17" t="n">
        <x:v>80514.55</x:v>
      </x:c>
      <x:c r="G255" s="17" t="n">
        <x:v>2907.47</x:v>
      </x:c>
      <x:c r="H255" s="17" t="n">
        <x:v>1610.29</x:v>
      </x:c>
      <x:c r="I255" s="17" t="n">
        <x:v>75996.79</x:v>
      </x:c>
      <x:c r="J255" s="17" t="n">
        <x:v>44289.41</x:v>
      </x:c>
      <x:c r="K255" s="17" t="n">
        <x:v>2963.87</x:v>
      </x:c>
      <x:c r="L255" s="17" t="n">
        <x:v>1823.92</x:v>
      </x:c>
      <x:c r="M255" s="17" t="n">
        <x:v>1367.94</x:v>
      </x:c>
      <x:c r="N255" s="16" t="n">
        <x:v>19</x:v>
      </x:c>
      <x:c r="O255" s="16" t="n">
        <x:v>8</x:v>
      </x:c>
      <x:c r="P255" s="16" t="n">
        <x:v>2</x:v>
      </x:c>
      <x:c r="Q255" s="16" t="n">
        <x:v>22</x:v>
      </x:c>
      <x:c r="R255" s="16" t="n">
        <x:v>14</x:v>
      </x:c>
      <x:c r="S255" s="16" t="n">
        <x:v>4</x:v>
      </x:c>
      <x:c r="T255" s="15" t="n">
        <x:f>YEAR(A255)</x:f>
        <x:v>2024</x:v>
      </x:c>
      <x:c r="U255" s="15" t="n">
        <x:f>ROUNDUP(MONTH(A255)/3,0)</x:f>
        <x:v>3</x:v>
      </x:c>
      <x:c r="V255" s="18" t="n">
        <x:f>I255-J255</x:f>
        <x:v>31707.37999999999</x:v>
      </x:c>
      <x:c r="W255" s="19" t="n">
        <x:f>IF(I255=0,"",V255/I255)</x:f>
        <x:v>0.4172199904759134</x:v>
      </x:c>
      <x:c r="X255" s="18" t="n">
        <x:f>I255-J255-K255-L255-M255</x:f>
        <x:v>25551.64999999999</x:v>
      </x:c>
      <x:c r="Y255" s="19" t="n">
        <x:f>IF(I255=0,"",X255/I255)</x:f>
        <x:v>0.336220121928834</x:v>
      </x:c>
      <x:c r="Z255" s="18" t="n">
        <x:f>IF(E255=0,"",F255/E255)</x:f>
        <x:v>1166.877536231884</x:v>
      </x:c>
      <x:c r="AA255" s="18" t="n">
        <x:f>IF(N255=0,"",M255/N255)</x:f>
        <x:v>71.99684210526316</x:v>
      </x:c>
      <x:c r="AB255" s="19" t="n">
        <x:f>IF(E255=0,"",O255/E255)</x:f>
        <x:v>0.11594202898550725</x:v>
      </x:c>
      <x:c r="AC255" s="19" t="n">
        <x:f>IF(E255=0,"",P255/E255)</x:f>
        <x:v>0.028985507246376812</x:v>
      </x:c>
      <x:c r="AD255" s="20" t="n">
        <x:f>IF(Q255=0,"",100*(R255-S255)/Q255)</x:f>
        <x:v>45.45454545454545</x:v>
      </x:c>
      <x:c r="AE255" s="19" t="n">
        <x:f>IF(F255=0,"",G255/F255)</x:f>
        <x:v>0.036111112836127134</x:v>
      </x:c>
      <x:c r="AF255" s="18" t="n">
        <x:f>ROUND(I255-(F255-G255-H255),2)</x:f>
        <x:v>0</x:v>
      </x:c>
    </x:row>
    <x:row r="256" ht="24" customHeight="1">
      <x:c r="A256" s="14" t="n">
        <x:v>45536</x:v>
      </x:c>
      <x:c r="B256" s="2" t="str">
        <x:v>B2B</x:v>
      </x:c>
      <x:c r="C256" s="2" t="str">
        <x:v>Sul</x:v>
      </x:c>
      <x:c r="D256" s="2" t="str">
        <x:v>M-0251</x:v>
      </x:c>
      <x:c r="E256" s="16" t="n">
        <x:v>56</x:v>
      </x:c>
      <x:c r="F256" s="17" t="n">
        <x:v>65356.35</x:v>
      </x:c>
      <x:c r="G256" s="17" t="n">
        <x:v>2360.09</x:v>
      </x:c>
      <x:c r="H256" s="17" t="n">
        <x:v>1307.13</x:v>
      </x:c>
      <x:c r="I256" s="17" t="n">
        <x:v>61689.13</x:v>
      </x:c>
      <x:c r="J256" s="17" t="n">
        <x:v>36500.83</x:v>
      </x:c>
      <x:c r="K256" s="17" t="n">
        <x:v>2405.88</x:v>
      </x:c>
      <x:c r="L256" s="17" t="n">
        <x:v>1480.54</x:v>
      </x:c>
      <x:c r="M256" s="17" t="n">
        <x:v>1110.4</x:v>
      </x:c>
      <x:c r="N256" s="16" t="n">
        <x:v>16</x:v>
      </x:c>
      <x:c r="O256" s="16" t="n">
        <x:v>7</x:v>
      </x:c>
      <x:c r="P256" s="16" t="n">
        <x:v>2</x:v>
      </x:c>
      <x:c r="Q256" s="16" t="n">
        <x:v>18</x:v>
      </x:c>
      <x:c r="R256" s="16" t="n">
        <x:v>11</x:v>
      </x:c>
      <x:c r="S256" s="16" t="n">
        <x:v>3</x:v>
      </x:c>
      <x:c r="T256" s="15" t="n">
        <x:f>YEAR(A256)</x:f>
        <x:v>2024</x:v>
      </x:c>
      <x:c r="U256" s="15" t="n">
        <x:f>ROUNDUP(MONTH(A256)/3,0)</x:f>
        <x:v>3</x:v>
      </x:c>
      <x:c r="V256" s="18" t="n">
        <x:f>I256-J256</x:f>
        <x:v>25188.299999999996</x:v>
      </x:c>
      <x:c r="W256" s="19" t="n">
        <x:f>IF(I256=0,"",V256/I256)</x:f>
        <x:v>0.4083101836579637</x:v>
      </x:c>
      <x:c r="X256" s="18" t="n">
        <x:f>I256-J256-K256-L256-M256</x:f>
        <x:v>20191.479999999992</x:v>
      </x:c>
      <x:c r="Y256" s="19" t="n">
        <x:f>IF(I256=0,"",X256/I256)</x:f>
        <x:v>0.32731017603911733</x:v>
      </x:c>
      <x:c r="Z256" s="18" t="n">
        <x:f>IF(E256=0,"",F256/E256)</x:f>
        <x:v>1167.0776785714286</x:v>
      </x:c>
      <x:c r="AA256" s="18" t="n">
        <x:f>IF(N256=0,"",M256/N256)</x:f>
        <x:v>69.4</x:v>
      </x:c>
      <x:c r="AB256" s="19" t="n">
        <x:f>IF(E256=0,"",O256/E256)</x:f>
        <x:v>0.125</x:v>
      </x:c>
      <x:c r="AC256" s="19" t="n">
        <x:f>IF(E256=0,"",P256/E256)</x:f>
        <x:v>0.03571428571428571</x:v>
      </x:c>
      <x:c r="AD256" s="20" t="n">
        <x:f>IF(Q256=0,"",100*(R256-S256)/Q256)</x:f>
        <x:v>44.44444444444444</x:v>
      </x:c>
      <x:c r="AE256" s="19" t="n">
        <x:f>IF(F256=0,"",G256/F256)</x:f>
        <x:v>0.03611110473580609</x:v>
      </x:c>
      <x:c r="AF256" s="18" t="n">
        <x:f>ROUND(I256-(F256-G256-H256),2)</x:f>
        <x:v>0</x:v>
      </x:c>
    </x:row>
    <x:row r="257" ht="24" customHeight="1">
      <x:c r="A257" s="14" t="n">
        <x:v>45536</x:v>
      </x:c>
      <x:c r="B257" s="2" t="str">
        <x:v>B2B</x:v>
      </x:c>
      <x:c r="C257" s="2" t="str">
        <x:v>Centro-Oeste</x:v>
      </x:c>
      <x:c r="D257" s="2" t="str">
        <x:v>M-0252</x:v>
      </x:c>
      <x:c r="E257" s="16" t="n">
        <x:v>37</x:v>
      </x:c>
      <x:c r="F257" s="17" t="n">
        <x:v>43252.23</x:v>
      </x:c>
      <x:c r="G257" s="17" t="n">
        <x:v>1561.89</x:v>
      </x:c>
      <x:c r="H257" s="17" t="n">
        <x:v>865.04</x:v>
      </x:c>
      <x:c r="I257" s="17" t="n">
        <x:v>40825.3</x:v>
      </x:c>
      <x:c r="J257" s="17" t="n">
        <x:v>23257.33</x:v>
      </x:c>
      <x:c r="K257" s="17" t="n">
        <x:v>1592.19</x:v>
      </x:c>
      <x:c r="L257" s="17" t="n">
        <x:v>979.81</x:v>
      </x:c>
      <x:c r="M257" s="17" t="n">
        <x:v>734.86</x:v>
      </x:c>
      <x:c r="N257" s="16" t="n">
        <x:v>10</x:v>
      </x:c>
      <x:c r="O257" s="16" t="n">
        <x:v>4</x:v>
      </x:c>
      <x:c r="P257" s="16" t="n">
        <x:v>1</x:v>
      </x:c>
      <x:c r="Q257" s="16" t="n">
        <x:v>12</x:v>
      </x:c>
      <x:c r="R257" s="16" t="n">
        <x:v>7</x:v>
      </x:c>
      <x:c r="S257" s="16" t="n">
        <x:v>2</x:v>
      </x:c>
      <x:c r="T257" s="15" t="n">
        <x:f>YEAR(A257)</x:f>
        <x:v>2024</x:v>
      </x:c>
      <x:c r="U257" s="15" t="n">
        <x:f>ROUNDUP(MONTH(A257)/3,0)</x:f>
        <x:v>3</x:v>
      </x:c>
      <x:c r="V257" s="18" t="n">
        <x:f>I257-J257</x:f>
        <x:v>17567.97</x:v>
      </x:c>
      <x:c r="W257" s="19" t="n">
        <x:f>IF(I257=0,"",V257/I257)</x:f>
        <x:v>0.43032065900311817</x:v>
      </x:c>
      <x:c r="X257" s="18" t="n">
        <x:f>I257-J257-K257-L257-M257</x:f>
        <x:v>14261.11</x:v>
      </x:c>
      <x:c r="Y257" s="19" t="n">
        <x:f>IF(I257=0,"",X257/I257)</x:f>
        <x:v>0.3493203969107392</x:v>
      </x:c>
      <x:c r="Z257" s="18" t="n">
        <x:f>IF(E257=0,"",F257/E257)</x:f>
        <x:v>1168.9791891891894</x:v>
      </x:c>
      <x:c r="AA257" s="18" t="n">
        <x:f>IF(N257=0,"",M257/N257)</x:f>
        <x:v>73.486</x:v>
      </x:c>
      <x:c r="AB257" s="19" t="n">
        <x:f>IF(E257=0,"",O257/E257)</x:f>
        <x:v>0.10810810810810811</x:v>
      </x:c>
      <x:c r="AC257" s="19" t="n">
        <x:f>IF(E257=0,"",P257/E257)</x:f>
        <x:v>0.02702702702702703</x:v>
      </x:c>
      <x:c r="AD257" s="20" t="n">
        <x:f>IF(Q257=0,"",100*(R257-S257)/Q257)</x:f>
        <x:v>41.666666666666664</x:v>
      </x:c>
      <x:c r="AE257" s="19" t="n">
        <x:f>IF(F257=0,"",G257/F257)</x:f>
        <x:v>0.03611120166520894</x:v>
      </x:c>
      <x:c r="AF257" s="18" t="n">
        <x:f>ROUND(I257-(F257-G257-H257),2)</x:f>
        <x:v>0</x:v>
      </x:c>
    </x:row>
    <x:row r="258" ht="24" customHeight="1">
      <x:c r="A258" s="14" t="n">
        <x:v>45566</x:v>
      </x:c>
      <x:c r="B258" s="2" t="str">
        <x:v>E-commerce</x:v>
      </x:c>
      <x:c r="C258" s="2" t="str">
        <x:v>Sudeste</x:v>
      </x:c>
      <x:c r="D258" s="2" t="str">
        <x:v>M-0253</x:v>
      </x:c>
      <x:c r="E258" s="16" t="n">
        <x:v>189</x:v>
      </x:c>
      <x:c r="F258" s="17" t="n">
        <x:v>219471.76</x:v>
      </x:c>
      <x:c r="G258" s="17" t="n">
        <x:v>8047.3</x:v>
      </x:c>
      <x:c r="H258" s="17" t="n">
        <x:v>4499.17</x:v>
      </x:c>
      <x:c r="I258" s="17" t="n">
        <x:v>206925.29</x:v>
      </x:c>
      <x:c r="J258" s="17" t="n">
        <x:v>120429.33</x:v>
      </x:c>
      <x:c r="K258" s="17" t="n">
        <x:v>12622.44</x:v>
      </x:c>
      <x:c r="L258" s="17" t="n">
        <x:v>4966.21</x:v>
      </x:c>
      <x:c r="M258" s="17" t="n">
        <x:v>15519.4</x:v>
      </x:c>
      <x:c r="N258" s="16" t="n">
        <x:v>98</x:v>
      </x:c>
      <x:c r="O258" s="16" t="n">
        <x:v>23</x:v>
      </x:c>
      <x:c r="P258" s="16" t="n">
        <x:v>5</x:v>
      </x:c>
      <x:c r="Q258" s="16" t="n">
        <x:v>60</x:v>
      </x:c>
      <x:c r="R258" s="16" t="n">
        <x:v>37</x:v>
      </x:c>
      <x:c r="S258" s="16" t="n">
        <x:v>11</x:v>
      </x:c>
      <x:c r="T258" s="15" t="n">
        <x:f>YEAR(A258)</x:f>
        <x:v>2024</x:v>
      </x:c>
      <x:c r="U258" s="15" t="n">
        <x:f>ROUNDUP(MONTH(A258)/3,0)</x:f>
        <x:v>4</x:v>
      </x:c>
      <x:c r="V258" s="18" t="n">
        <x:f>I258-J258</x:f>
        <x:v>86495.96</x:v>
      </x:c>
      <x:c r="W258" s="19" t="n">
        <x:f>IF(I258=0,"",V258/I258)</x:f>
        <x:v>0.4180057449720138</x:v>
      </x:c>
      <x:c r="X258" s="18" t="n">
        <x:f>I258-J258-K258-L258-M258</x:f>
        <x:v>53387.909999999996</x:v>
      </x:c>
      <x:c r="Y258" s="19" t="n">
        <x:f>IF(I258=0,"",X258/I258)</x:f>
        <x:v>0.25800572757443035</x:v>
      </x:c>
      <x:c r="Z258" s="18" t="n">
        <x:f>IF(E258=0,"",F258/E258)</x:f>
        <x:v>1161.2262433862434</x:v>
      </x:c>
      <x:c r="AA258" s="18" t="n">
        <x:f>IF(N258=0,"",M258/N258)</x:f>
        <x:v>158.36122448979592</x:v>
      </x:c>
      <x:c r="AB258" s="19" t="n">
        <x:f>IF(E258=0,"",O258/E258)</x:f>
        <x:v>0.12169312169312169</x:v>
      </x:c>
      <x:c r="AC258" s="19" t="n">
        <x:f>IF(E258=0,"",P258/E258)</x:f>
        <x:v>0.026455026455026454</x:v>
      </x:c>
      <x:c r="AD258" s="20" t="n">
        <x:f>IF(Q258=0,"",100*(R258-S258)/Q258)</x:f>
        <x:v>43.333333333333336</x:v>
      </x:c>
      <x:c r="AE258" s="19" t="n">
        <x:f>IF(F258=0,"",G258/F258)</x:f>
        <x:v>0.03666667638697571</x:v>
      </x:c>
      <x:c r="AF258" s="18" t="n">
        <x:f>ROUND(I258-(F258-G258-H258),2)</x:f>
        <x:v>0</x:v>
      </x:c>
    </x:row>
    <x:row r="259" ht="24" customHeight="1">
      <x:c r="A259" s="14" t="n">
        <x:v>45566</x:v>
      </x:c>
      <x:c r="B259" s="2" t="str">
        <x:v>E-commerce</x:v>
      </x:c>
      <x:c r="C259" s="2" t="str">
        <x:v>Nordeste</x:v>
      </x:c>
      <x:c r="D259" s="2" t="str">
        <x:v>M-0254</x:v>
      </x:c>
      <x:c r="E259" s="16" t="n">
        <x:v>126</x:v>
      </x:c>
      <x:c r="F259" s="17" t="n">
        <x:v>146506.25</x:v>
      </x:c>
      <x:c r="G259" s="17" t="n">
        <x:v>5371.9</x:v>
      </x:c>
      <x:c r="H259" s="17" t="n">
        <x:v>3003.38</x:v>
      </x:c>
      <x:c r="I259" s="17" t="n">
        <x:v>138130.97</x:v>
      </x:c>
      <x:c r="J259" s="17" t="n">
        <x:v>79162.94</x:v>
      </x:c>
      <x:c r="K259" s="17" t="n">
        <x:v>8425.99</x:v>
      </x:c>
      <x:c r="L259" s="17" t="n">
        <x:v>3315.14</x:v>
      </x:c>
      <x:c r="M259" s="17" t="n">
        <x:v>10359.82</x:v>
      </x:c>
      <x:c r="N259" s="16" t="n">
        <x:v>66</x:v>
      </x:c>
      <x:c r="O259" s="16" t="n">
        <x:v>16</x:v>
      </x:c>
      <x:c r="P259" s="16" t="n">
        <x:v>4</x:v>
      </x:c>
      <x:c r="Q259" s="16" t="n">
        <x:v>40</x:v>
      </x:c>
      <x:c r="R259" s="16" t="n">
        <x:v>25</x:v>
      </x:c>
      <x:c r="S259" s="16" t="n">
        <x:v>7</x:v>
      </x:c>
      <x:c r="T259" s="15" t="n">
        <x:f>YEAR(A259)</x:f>
        <x:v>2024</x:v>
      </x:c>
      <x:c r="U259" s="15" t="n">
        <x:f>ROUNDUP(MONTH(A259)/3,0)</x:f>
        <x:v>4</x:v>
      </x:c>
      <x:c r="V259" s="18" t="n">
        <x:f>I259-J259</x:f>
        <x:v>58968.03</x:v>
      </x:c>
      <x:c r="W259" s="19" t="n">
        <x:f>IF(I259=0,"",V259/I259)</x:f>
        <x:v>0.4268994129267318</x:v>
      </x:c>
      <x:c r="X259" s="18" t="n">
        <x:f>I259-J259-K259-L259-M259</x:f>
        <x:v>36867.08</x:v>
      </x:c>
      <x:c r="Y259" s="19" t="n">
        <x:f>IF(I259=0,"",X259/I259)</x:f>
        <x:v>0.2668994505721635</x:v>
      </x:c>
      <x:c r="Z259" s="18" t="n">
        <x:f>IF(E259=0,"",F259/E259)</x:f>
        <x:v>1162.748015873016</x:v>
      </x:c>
      <x:c r="AA259" s="18" t="n">
        <x:f>IF(N259=0,"",M259/N259)</x:f>
        <x:v>156.9669696969697</x:v>
      </x:c>
      <x:c r="AB259" s="19" t="n">
        <x:f>IF(E259=0,"",O259/E259)</x:f>
        <x:v>0.12698412698412698</x:v>
      </x:c>
      <x:c r="AC259" s="19" t="n">
        <x:f>IF(E259=0,"",P259/E259)</x:f>
        <x:v>0.031746031746031744</x:v>
      </x:c>
      <x:c r="AD259" s="20" t="n">
        <x:f>IF(Q259=0,"",100*(R259-S259)/Q259)</x:f>
        <x:v>45</x:v>
      </x:c>
      <x:c r="AE259" s="19" t="n">
        <x:f>IF(F259=0,"",G259/F259)</x:f>
        <x:v>0.03666669510686404</x:v>
      </x:c>
      <x:c r="AF259" s="18" t="n">
        <x:f>ROUND(I259-(F259-G259-H259),2)</x:f>
        <x:v>0</x:v>
      </x:c>
    </x:row>
    <x:row r="260" ht="24" customHeight="1">
      <x:c r="A260" s="14" t="n">
        <x:v>45566</x:v>
      </x:c>
      <x:c r="B260" s="2" t="str">
        <x:v>E-commerce</x:v>
      </x:c>
      <x:c r="C260" s="2" t="str">
        <x:v>Sul</x:v>
      </x:c>
      <x:c r="D260" s="2" t="str">
        <x:v>M-0255</x:v>
      </x:c>
      <x:c r="E260" s="16" t="n">
        <x:v>100</x:v>
      </x:c>
      <x:c r="F260" s="17" t="n">
        <x:v>115725.15</x:v>
      </x:c>
      <x:c r="G260" s="17" t="n">
        <x:v>4243.26</x:v>
      </x:c>
      <x:c r="H260" s="17" t="n">
        <x:v>2372.37</x:v>
      </x:c>
      <x:c r="I260" s="17" t="n">
        <x:v>109109.52</x:v>
      </x:c>
      <x:c r="J260" s="17" t="n">
        <x:v>65619.31</x:v>
      </x:c>
      <x:c r="K260" s="17" t="n">
        <x:v>6655.68</x:v>
      </x:c>
      <x:c r="L260" s="17" t="n">
        <x:v>2618.63</x:v>
      </x:c>
      <x:c r="M260" s="17" t="n">
        <x:v>8183.21</x:v>
      </x:c>
      <x:c r="N260" s="16" t="n">
        <x:v>52</x:v>
      </x:c>
      <x:c r="O260" s="16" t="n">
        <x:v>12</x:v>
      </x:c>
      <x:c r="P260" s="16" t="n">
        <x:v>3</x:v>
      </x:c>
      <x:c r="Q260" s="16" t="n">
        <x:v>32</x:v>
      </x:c>
      <x:c r="R260" s="16" t="n">
        <x:v>20</x:v>
      </x:c>
      <x:c r="S260" s="16" t="n">
        <x:v>6</x:v>
      </x:c>
      <x:c r="T260" s="15" t="n">
        <x:f>YEAR(A260)</x:f>
        <x:v>2024</x:v>
      </x:c>
      <x:c r="U260" s="15" t="n">
        <x:f>ROUNDUP(MONTH(A260)/3,0)</x:f>
        <x:v>4</x:v>
      </x:c>
      <x:c r="V260" s="18" t="n">
        <x:f>I260-J260</x:f>
        <x:v>43490.21000000001</x:v>
      </x:c>
      <x:c r="W260" s="19" t="n">
        <x:f>IF(I260=0,"",V260/I260)</x:f>
        <x:v>0.3985922584940343</x:v>
      </x:c>
      <x:c r="X260" s="18" t="n">
        <x:f>I260-J260-K260-L260-M260</x:f>
        <x:v>26032.69000000001</x:v>
      </x:c>
      <x:c r="Y260" s="19" t="n">
        <x:f>IF(I260=0,"",X260/I260)</x:f>
        <x:v>0.23859228782236425</x:v>
      </x:c>
      <x:c r="Z260" s="18" t="n">
        <x:f>IF(E260=0,"",F260/E260)</x:f>
        <x:v>1157.2514999999999</x:v>
      </x:c>
      <x:c r="AA260" s="18" t="n">
        <x:f>IF(N260=0,"",M260/N260)</x:f>
        <x:v>157.36942307692308</x:v>
      </x:c>
      <x:c r="AB260" s="19" t="n">
        <x:f>IF(E260=0,"",O260/E260)</x:f>
        <x:v>0.12</x:v>
      </x:c>
      <x:c r="AC260" s="19" t="n">
        <x:f>IF(E260=0,"",P260/E260)</x:f>
        <x:v>0.03</x:v>
      </x:c>
      <x:c r="AD260" s="20" t="n">
        <x:f>IF(Q260=0,"",100*(R260-S260)/Q260)</x:f>
        <x:v>43.75</x:v>
      </x:c>
      <x:c r="AE260" s="19" t="n">
        <x:f>IF(F260=0,"",G260/F260)</x:f>
        <x:v>0.03666670555190467</x:v>
      </x:c>
      <x:c r="AF260" s="18" t="n">
        <x:f>ROUND(I260-(F260-G260-H260),2)</x:f>
        <x:v>0</x:v>
      </x:c>
    </x:row>
    <x:row r="261" ht="24" customHeight="1">
      <x:c r="A261" s="14" t="n">
        <x:v>45566</x:v>
      </x:c>
      <x:c r="B261" s="2" t="str">
        <x:v>E-commerce</x:v>
      </x:c>
      <x:c r="C261" s="2" t="str">
        <x:v>Centro-Oeste</x:v>
      </x:c>
      <x:c r="D261" s="2" t="str">
        <x:v>M-0256</x:v>
      </x:c>
      <x:c r="E261" s="16" t="n">
        <x:v>72</x:v>
      </x:c>
      <x:c r="F261" s="17" t="n">
        <x:v>84012.39</x:v>
      </x:c>
      <x:c r="G261" s="17" t="n">
        <x:v>3080.45</x:v>
      </x:c>
      <x:c r="H261" s="17" t="n">
        <x:v>1722.25</x:v>
      </x:c>
      <x:c r="I261" s="17" t="n">
        <x:v>79209.69</x:v>
      </x:c>
      <x:c r="J261" s="17" t="n">
        <x:v>46397.46</x:v>
      </x:c>
      <x:c r="K261" s="17" t="n">
        <x:v>4831.79</x:v>
      </x:c>
      <x:c r="L261" s="17" t="n">
        <x:v>1901.03</x:v>
      </x:c>
      <x:c r="M261" s="17" t="n">
        <x:v>5940.73</x:v>
      </x:c>
      <x:c r="N261" s="16" t="n">
        <x:v>37</x:v>
      </x:c>
      <x:c r="O261" s="16" t="n">
        <x:v>9</x:v>
      </x:c>
      <x:c r="P261" s="16" t="n">
        <x:v>2</x:v>
      </x:c>
      <x:c r="Q261" s="16" t="n">
        <x:v>23</x:v>
      </x:c>
      <x:c r="R261" s="16" t="n">
        <x:v>14</x:v>
      </x:c>
      <x:c r="S261" s="16" t="n">
        <x:v>4</x:v>
      </x:c>
      <x:c r="T261" s="15" t="n">
        <x:f>YEAR(A261)</x:f>
        <x:v>2024</x:v>
      </x:c>
      <x:c r="U261" s="15" t="n">
        <x:f>ROUNDUP(MONTH(A261)/3,0)</x:f>
        <x:v>4</x:v>
      </x:c>
      <x:c r="V261" s="18" t="n">
        <x:f>I261-J261</x:f>
        <x:v>32812.23</x:v>
      </x:c>
      <x:c r="W261" s="19" t="n">
        <x:f>IF(I261=0,"",V261/I261)</x:f>
        <x:v>0.41424515106674453</x:v>
      </x:c>
      <x:c r="X261" s="18" t="n">
        <x:f>I261-J261-K261-L261-M261</x:f>
        <x:v>20138.680000000004</x:v>
      </x:c>
      <x:c r="Y261" s="19" t="n">
        <x:f>IF(I261=0,"",X261/I261)</x:f>
        <x:v>0.25424515611663173</x:v>
      </x:c>
      <x:c r="Z261" s="18" t="n">
        <x:f>IF(E261=0,"",F261/E261)</x:f>
        <x:v>1166.83875</x:v>
      </x:c>
      <x:c r="AA261" s="18" t="n">
        <x:f>IF(N261=0,"",M261/N261)</x:f>
        <x:v>160.56027027027025</x:v>
      </x:c>
      <x:c r="AB261" s="19" t="n">
        <x:f>IF(E261=0,"",O261/E261)</x:f>
        <x:v>0.125</x:v>
      </x:c>
      <x:c r="AC261" s="19" t="n">
        <x:f>IF(E261=0,"",P261/E261)</x:f>
        <x:v>0.027777777777777776</x:v>
      </x:c>
      <x:c r="AD261" s="20" t="n">
        <x:f>IF(Q261=0,"",100*(R261-S261)/Q261)</x:f>
        <x:v>43.47826086956522</x:v>
      </x:c>
      <x:c r="AE261" s="19" t="n">
        <x:f>IF(F261=0,"",G261/F261)</x:f>
        <x:v>0.03666661548373996</x:v>
      </x:c>
      <x:c r="AF261" s="18" t="n">
        <x:f>ROUND(I261-(F261-G261-H261),2)</x:f>
        <x:v>0</x:v>
      </x:c>
    </x:row>
    <x:row r="262" ht="24" customHeight="1">
      <x:c r="A262" s="14" t="n">
        <x:v>45566</x:v>
      </x:c>
      <x:c r="B262" s="2" t="str">
        <x:v>Lojas</x:v>
      </x:c>
      <x:c r="C262" s="2" t="str">
        <x:v>Sudeste</x:v>
      </x:c>
      <x:c r="D262" s="2" t="str">
        <x:v>M-0257</x:v>
      </x:c>
      <x:c r="E262" s="16" t="n">
        <x:v>169</x:v>
      </x:c>
      <x:c r="F262" s="17" t="n">
        <x:v>196345.34</x:v>
      </x:c>
      <x:c r="G262" s="17" t="n">
        <x:v>7199.33</x:v>
      </x:c>
      <x:c r="H262" s="17" t="n">
        <x:v>4025.08</x:v>
      </x:c>
      <x:c r="I262" s="17" t="n">
        <x:v>185120.93</x:v>
      </x:c>
      <x:c r="J262" s="17" t="n">
        <x:v>106058.72</x:v>
      </x:c>
      <x:c r="K262" s="17" t="n">
        <x:v>7404.84</x:v>
      </x:c>
      <x:c r="L262" s="17" t="n">
        <x:v>4442.9</x:v>
      </x:c>
      <x:c r="M262" s="17" t="n">
        <x:v>3332.18</x:v>
      </x:c>
      <x:c r="N262" s="16" t="n">
        <x:v>47</x:v>
      </x:c>
      <x:c r="O262" s="16" t="n">
        <x:v>21</x:v>
      </x:c>
      <x:c r="P262" s="16" t="n">
        <x:v>5</x:v>
      </x:c>
      <x:c r="Q262" s="16" t="n">
        <x:v>54</x:v>
      </x:c>
      <x:c r="R262" s="16" t="n">
        <x:v>33</x:v>
      </x:c>
      <x:c r="S262" s="16" t="n">
        <x:v>10</x:v>
      </x:c>
      <x:c r="T262" s="15" t="n">
        <x:f>YEAR(A262)</x:f>
        <x:v>2024</x:v>
      </x:c>
      <x:c r="U262" s="15" t="n">
        <x:f>ROUNDUP(MONTH(A262)/3,0)</x:f>
        <x:v>4</x:v>
      </x:c>
      <x:c r="V262" s="18" t="n">
        <x:f>I262-J262</x:f>
        <x:v>79062.20999999999</x:v>
      </x:c>
      <x:c r="W262" s="19" t="n">
        <x:f>IF(I262=0,"",V262/I262)</x:f>
        <x:v>0.42708412279475905</x:v>
      </x:c>
      <x:c r="X262" s="18" t="n">
        <x:f>I262-J262-K262-L262-M262</x:f>
        <x:v>63882.29</x:v>
      </x:c>
      <x:c r="Y262" s="19" t="n">
        <x:f>IF(I262=0,"",X262/I262)</x:f>
        <x:v>0.3450841025917491</x:v>
      </x:c>
      <x:c r="Z262" s="18" t="n">
        <x:f>IF(E262=0,"",F262/E262)</x:f>
        <x:v>1161.8067455621301</x:v>
      </x:c>
      <x:c r="AA262" s="18" t="n">
        <x:f>IF(N262=0,"",M262/N262)</x:f>
        <x:v>70.89744680851064</x:v>
      </x:c>
      <x:c r="AB262" s="19" t="n">
        <x:f>IF(E262=0,"",O262/E262)</x:f>
        <x:v>0.1242603550295858</x:v>
      </x:c>
      <x:c r="AC262" s="19" t="n">
        <x:f>IF(E262=0,"",P262/E262)</x:f>
        <x:v>0.029585798816568046</x:v>
      </x:c>
      <x:c r="AD262" s="20" t="n">
        <x:f>IF(Q262=0,"",100*(R262-S262)/Q262)</x:f>
        <x:v>42.592592592592595</x:v>
      </x:c>
      <x:c r="AE262" s="19" t="n">
        <x:f>IF(F262=0,"",G262/F262)</x:f>
        <x:v>0.03666667108065819</x:v>
      </x:c>
      <x:c r="AF262" s="18" t="n">
        <x:f>ROUND(I262-(F262-G262-H262),2)</x:f>
        <x:v>0</x:v>
      </x:c>
    </x:row>
    <x:row r="263" ht="24" customHeight="1">
      <x:c r="A263" s="14" t="n">
        <x:v>45566</x:v>
      </x:c>
      <x:c r="B263" s="2" t="str">
        <x:v>Lojas</x:v>
      </x:c>
      <x:c r="C263" s="2" t="str">
        <x:v>Nordeste</x:v>
      </x:c>
      <x:c r="D263" s="2" t="str">
        <x:v>M-0258</x:v>
      </x:c>
      <x:c r="E263" s="16" t="n">
        <x:v>110</x:v>
      </x:c>
      <x:c r="F263" s="17" t="n">
        <x:v>127953.25</x:v>
      </x:c>
      <x:c r="G263" s="17" t="n">
        <x:v>4691.62</x:v>
      </x:c>
      <x:c r="H263" s="17" t="n">
        <x:v>2623.04</x:v>
      </x:c>
      <x:c r="I263" s="17" t="n">
        <x:v>120638.59</x:v>
      </x:c>
      <x:c r="J263" s="17" t="n">
        <x:v>68631.52</x:v>
      </x:c>
      <x:c r="K263" s="17" t="n">
        <x:v>4825.54</x:v>
      </x:c>
      <x:c r="L263" s="17" t="n">
        <x:v>2895.33</x:v>
      </x:c>
      <x:c r="M263" s="17" t="n">
        <x:v>2171.49</x:v>
      </x:c>
      <x:c r="N263" s="16" t="n">
        <x:v>31</x:v>
      </x:c>
      <x:c r="O263" s="16" t="n">
        <x:v>14</x:v>
      </x:c>
      <x:c r="P263" s="16" t="n">
        <x:v>3</x:v>
      </x:c>
      <x:c r="Q263" s="16" t="n">
        <x:v>35</x:v>
      </x:c>
      <x:c r="R263" s="16" t="n">
        <x:v>21</x:v>
      </x:c>
      <x:c r="S263" s="16" t="n">
        <x:v>6</x:v>
      </x:c>
      <x:c r="T263" s="15" t="n">
        <x:f>YEAR(A263)</x:f>
        <x:v>2024</x:v>
      </x:c>
      <x:c r="U263" s="15" t="n">
        <x:f>ROUNDUP(MONTH(A263)/3,0)</x:f>
        <x:v>4</x:v>
      </x:c>
      <x:c r="V263" s="18" t="n">
        <x:f>I263-J263</x:f>
        <x:v>52007.06999999999</x:v>
      </x:c>
      <x:c r="W263" s="19" t="n">
        <x:f>IF(I263=0,"",V263/I263)</x:f>
        <x:v>0.43109812540083564</x:v>
      </x:c>
      <x:c r="X263" s="18" t="n">
        <x:f>I263-J263-K263-L263-M263</x:f>
        <x:v>42114.70999999999</x:v>
      </x:c>
      <x:c r="Y263" s="19" t="n">
        <x:f>IF(I263=0,"",X263/I263)</x:f>
        <x:v>0.349098161707626</x:v>
      </x:c>
      <x:c r="Z263" s="18" t="n">
        <x:f>IF(E263=0,"",F263/E263)</x:f>
        <x:v>1163.2113636363636</x:v>
      </x:c>
      <x:c r="AA263" s="18" t="n">
        <x:f>IF(N263=0,"",M263/N263)</x:f>
        <x:v>70.04806451612903</x:v>
      </x:c>
      <x:c r="AB263" s="19" t="n">
        <x:f>IF(E263=0,"",O263/E263)</x:f>
        <x:v>0.12727272727272726</x:v>
      </x:c>
      <x:c r="AC263" s="19" t="n">
        <x:f>IF(E263=0,"",P263/E263)</x:f>
        <x:v>0.02727272727272727</x:v>
      </x:c>
      <x:c r="AD263" s="20" t="n">
        <x:f>IF(Q263=0,"",100*(R263-S263)/Q263)</x:f>
        <x:v>42.857142857142854</x:v>
      </x:c>
      <x:c r="AE263" s="19" t="n">
        <x:f>IF(F263=0,"",G263/F263)</x:f>
        <x:v>0.03666667317946203</x:v>
      </x:c>
      <x:c r="AF263" s="18" t="n">
        <x:f>ROUND(I263-(F263-G263-H263),2)</x:f>
        <x:v>0</x:v>
      </x:c>
    </x:row>
    <x:row r="264" ht="24" customHeight="1">
      <x:c r="A264" s="14" t="n">
        <x:v>45566</x:v>
      </x:c>
      <x:c r="B264" s="2" t="str">
        <x:v>Lojas</x:v>
      </x:c>
      <x:c r="C264" s="2" t="str">
        <x:v>Sul</x:v>
      </x:c>
      <x:c r="D264" s="2" t="str">
        <x:v>M-0259</x:v>
      </x:c>
      <x:c r="E264" s="16" t="n">
        <x:v>89</x:v>
      </x:c>
      <x:c r="F264" s="17" t="n">
        <x:v>103001.73</x:v>
      </x:c>
      <x:c r="G264" s="17" t="n">
        <x:v>3776.73</x:v>
      </x:c>
      <x:c r="H264" s="17" t="n">
        <x:v>2111.54</x:v>
      </x:c>
      <x:c r="I264" s="17" t="n">
        <x:v>97113.46</x:v>
      </x:c>
      <x:c r="J264" s="17" t="n">
        <x:v>56618.81</x:v>
      </x:c>
      <x:c r="K264" s="17" t="n">
        <x:v>3884.54</x:v>
      </x:c>
      <x:c r="L264" s="17" t="n">
        <x:v>2330.72</x:v>
      </x:c>
      <x:c r="M264" s="17" t="n">
        <x:v>1748.04</x:v>
      </x:c>
      <x:c r="N264" s="16" t="n">
        <x:v>25</x:v>
      </x:c>
      <x:c r="O264" s="16" t="n">
        <x:v>11</x:v>
      </x:c>
      <x:c r="P264" s="16" t="n">
        <x:v>3</x:v>
      </x:c>
      <x:c r="Q264" s="16" t="n">
        <x:v>28</x:v>
      </x:c>
      <x:c r="R264" s="16" t="n">
        <x:v>17</x:v>
      </x:c>
      <x:c r="S264" s="16" t="n">
        <x:v>5</x:v>
      </x:c>
      <x:c r="T264" s="15" t="n">
        <x:f>YEAR(A264)</x:f>
        <x:v>2024</x:v>
      </x:c>
      <x:c r="U264" s="15" t="n">
        <x:f>ROUNDUP(MONTH(A264)/3,0)</x:f>
        <x:v>4</x:v>
      </x:c>
      <x:c r="V264" s="18" t="n">
        <x:f>I264-J264</x:f>
        <x:v>40494.65000000001</x:v>
      </x:c>
      <x:c r="W264" s="19" t="n">
        <x:f>IF(I264=0,"",V264/I264)</x:f>
        <x:v>0.4169828775537398</x:v>
      </x:c>
      <x:c r="X264" s="18" t="n">
        <x:f>I264-J264-K264-L264-M264</x:f>
        <x:v>32531.350000000006</x:v>
      </x:c>
      <x:c r="Y264" s="19" t="n">
        <x:f>IF(I264=0,"",X264/I264)</x:f>
        <x:v>0.3349829158594494</x:v>
      </x:c>
      <x:c r="Z264" s="18" t="n">
        <x:f>IF(E264=0,"",F264/E264)</x:f>
        <x:v>1157.322808988764</x:v>
      </x:c>
      <x:c r="AA264" s="18" t="n">
        <x:f>IF(N264=0,"",M264/N264)</x:f>
        <x:v>69.9216</x:v>
      </x:c>
      <x:c r="AB264" s="19" t="n">
        <x:f>IF(E264=0,"",O264/E264)</x:f>
        <x:v>0.12359550561797752</x:v>
      </x:c>
      <x:c r="AC264" s="19" t="n">
        <x:f>IF(E264=0,"",P264/E264)</x:f>
        <x:v>0.033707865168539325</x:v>
      </x:c>
      <x:c r="AD264" s="20" t="n">
        <x:f>IF(Q264=0,"",100*(R264-S264)/Q264)</x:f>
        <x:v>42.857142857142854</x:v>
      </x:c>
      <x:c r="AE264" s="19" t="n">
        <x:f>IF(F264=0,"",G264/F264)</x:f>
        <x:v>0.03666666569580919</x:v>
      </x:c>
      <x:c r="AF264" s="18" t="n">
        <x:f>ROUND(I264-(F264-G264-H264),2)</x:f>
        <x:v>0</x:v>
      </x:c>
    </x:row>
    <x:row r="265" ht="24" customHeight="1">
      <x:c r="A265" s="14" t="n">
        <x:v>45566</x:v>
      </x:c>
      <x:c r="B265" s="2" t="str">
        <x:v>Lojas</x:v>
      </x:c>
      <x:c r="C265" s="2" t="str">
        <x:v>Centro-Oeste</x:v>
      </x:c>
      <x:c r="D265" s="2" t="str">
        <x:v>M-0260</x:v>
      </x:c>
      <x:c r="E265" s="16" t="n">
        <x:v>67</x:v>
      </x:c>
      <x:c r="F265" s="17" t="n">
        <x:v>77489.91</x:v>
      </x:c>
      <x:c r="G265" s="17" t="n">
        <x:v>2841.3</x:v>
      </x:c>
      <x:c r="H265" s="17" t="n">
        <x:v>1588.54</x:v>
      </x:c>
      <x:c r="I265" s="17" t="n">
        <x:v>73060.07</x:v>
      </x:c>
      <x:c r="J265" s="17" t="n">
        <x:v>41595.8</x:v>
      </x:c>
      <x:c r="K265" s="17" t="n">
        <x:v>2922.4</x:v>
      </x:c>
      <x:c r="L265" s="17" t="n">
        <x:v>1753.44</x:v>
      </x:c>
      <x:c r="M265" s="17" t="n">
        <x:v>1315.08</x:v>
      </x:c>
      <x:c r="N265" s="16" t="n">
        <x:v>19</x:v>
      </x:c>
      <x:c r="O265" s="16" t="n">
        <x:v>8</x:v>
      </x:c>
      <x:c r="P265" s="16" t="n">
        <x:v>2</x:v>
      </x:c>
      <x:c r="Q265" s="16" t="n">
        <x:v>21</x:v>
      </x:c>
      <x:c r="R265" s="16" t="n">
        <x:v>13</x:v>
      </x:c>
      <x:c r="S265" s="16" t="n">
        <x:v>4</x:v>
      </x:c>
      <x:c r="T265" s="15" t="n">
        <x:f>YEAR(A265)</x:f>
        <x:v>2024</x:v>
      </x:c>
      <x:c r="U265" s="15" t="n">
        <x:f>ROUNDUP(MONTH(A265)/3,0)</x:f>
        <x:v>4</x:v>
      </x:c>
      <x:c r="V265" s="18" t="n">
        <x:f>I265-J265</x:f>
        <x:v>31464.270000000004</x:v>
      </x:c>
      <x:c r="W265" s="19" t="n">
        <x:f>IF(I265=0,"",V265/I265)</x:f>
        <x:v>0.4306630146946205</x:v>
      </x:c>
      <x:c r="X265" s="18" t="n">
        <x:f>I265-J265-K265-L265-M265</x:f>
        <x:v>25473.350000000006</x:v>
      </x:c>
      <x:c r="Y265" s="19" t="n">
        <x:f>IF(I265=0,"",X265/I265)</x:f>
        <x:v>0.3486630932601078</x:v>
      </x:c>
      <x:c r="Z265" s="18" t="n">
        <x:f>IF(E265=0,"",F265/E265)</x:f>
        <x:v>1156.5658208955224</x:v>
      </x:c>
      <x:c r="AA265" s="18" t="n">
        <x:f>IF(N265=0,"",M265/N265)</x:f>
        <x:v>69.21473684210525</x:v>
      </x:c>
      <x:c r="AB265" s="19" t="n">
        <x:f>IF(E265=0,"",O265/E265)</x:f>
        <x:v>0.11940298507462686</x:v>
      </x:c>
      <x:c r="AC265" s="19" t="n">
        <x:f>IF(E265=0,"",P265/E265)</x:f>
        <x:v>0.029850746268656716</x:v>
      </x:c>
      <x:c r="AD265" s="20" t="n">
        <x:f>IF(Q265=0,"",100*(R265-S265)/Q265)</x:f>
        <x:v>42.857142857142854</x:v>
      </x:c>
      <x:c r="AE265" s="19" t="n">
        <x:f>IF(F265=0,"",G265/F265)</x:f>
        <x:v>0.036666709252856276</x:v>
      </x:c>
      <x:c r="AF265" s="18" t="n">
        <x:f>ROUND(I265-(F265-G265-H265),2)</x:f>
        <x:v>0</x:v>
      </x:c>
    </x:row>
    <x:row r="266" ht="24" customHeight="1">
      <x:c r="A266" s="14" t="n">
        <x:v>45566</x:v>
      </x:c>
      <x:c r="B266" s="2" t="str">
        <x:v>B2B</x:v>
      </x:c>
      <x:c r="C266" s="2" t="str">
        <x:v>Sudeste</x:v>
      </x:c>
      <x:c r="D266" s="2" t="str">
        <x:v>M-0261</x:v>
      </x:c>
      <x:c r="E266" s="16" t="n">
        <x:v>93</x:v>
      </x:c>
      <x:c r="F266" s="17" t="n">
        <x:v>107784.66</x:v>
      </x:c>
      <x:c r="G266" s="17" t="n">
        <x:v>3952.1</x:v>
      </x:c>
      <x:c r="H266" s="17" t="n">
        <x:v>2209.59</x:v>
      </x:c>
      <x:c r="I266" s="17" t="n">
        <x:v>101622.97</x:v>
      </x:c>
      <x:c r="J266" s="17" t="n">
        <x:v>59499.89</x:v>
      </x:c>
      <x:c r="K266" s="17" t="n">
        <x:v>4064.92</x:v>
      </x:c>
      <x:c r="L266" s="17" t="n">
        <x:v>2438.95</x:v>
      </x:c>
      <x:c r="M266" s="17" t="n">
        <x:v>1829.21</x:v>
      </x:c>
      <x:c r="N266" s="16" t="n">
        <x:v>26</x:v>
      </x:c>
      <x:c r="O266" s="16" t="n">
        <x:v>12</x:v>
      </x:c>
      <x:c r="P266" s="16" t="n">
        <x:v>3</x:v>
      </x:c>
      <x:c r="Q266" s="16" t="n">
        <x:v>30</x:v>
      </x:c>
      <x:c r="R266" s="16" t="n">
        <x:v>18</x:v>
      </x:c>
      <x:c r="S266" s="16" t="n">
        <x:v>6</x:v>
      </x:c>
      <x:c r="T266" s="15" t="n">
        <x:f>YEAR(A266)</x:f>
        <x:v>2024</x:v>
      </x:c>
      <x:c r="U266" s="15" t="n">
        <x:f>ROUNDUP(MONTH(A266)/3,0)</x:f>
        <x:v>4</x:v>
      </x:c>
      <x:c r="V266" s="18" t="n">
        <x:f>I266-J266</x:f>
        <x:v>42123.08</x:v>
      </x:c>
      <x:c r="W266" s="19" t="n">
        <x:f>IF(I266=0,"",V266/I266)</x:f>
        <x:v>0.4145035320262732</x:v>
      </x:c>
      <x:c r="X266" s="18" t="n">
        <x:f>I266-J266-K266-L266-M266</x:f>
        <x:v>33790.00000000001</x:v>
      </x:c>
      <x:c r="Y266" s="19" t="n">
        <x:f>IF(I266=0,"",X266/I266)</x:f>
        <x:v>0.3325035668609174</x:v>
      </x:c>
      <x:c r="Z266" s="18" t="n">
        <x:f>IF(E266=0,"",F266/E266)</x:f>
        <x:v>1158.9748387096774</x:v>
      </x:c>
      <x:c r="AA266" s="18" t="n">
        <x:f>IF(N266=0,"",M266/N266)</x:f>
        <x:v>70.35423076923077</x:v>
      </x:c>
      <x:c r="AB266" s="19" t="n">
        <x:f>IF(E266=0,"",O266/E266)</x:f>
        <x:v>0.12903225806451613</x:v>
      </x:c>
      <x:c r="AC266" s="19" t="n">
        <x:f>IF(E266=0,"",P266/E266)</x:f>
        <x:v>0.03225806451612903</x:v>
      </x:c>
      <x:c r="AD266" s="20" t="n">
        <x:f>IF(Q266=0,"",100*(R266-S266)/Q266)</x:f>
        <x:v>40</x:v>
      </x:c>
      <x:c r="AE266" s="19" t="n">
        <x:f>IF(F266=0,"",G266/F266)</x:f>
        <x:v>0.036666627700082735</x:v>
      </x:c>
      <x:c r="AF266" s="18" t="n">
        <x:f>ROUND(I266-(F266-G266-H266),2)</x:f>
        <x:v>0</x:v>
      </x:c>
    </x:row>
    <x:row r="267" ht="24" customHeight="1">
      <x:c r="A267" s="14" t="n">
        <x:v>45566</x:v>
      </x:c>
      <x:c r="B267" s="2" t="str">
        <x:v>B2B</x:v>
      </x:c>
      <x:c r="C267" s="2" t="str">
        <x:v>Nordeste</x:v>
      </x:c>
      <x:c r="D267" s="2" t="str">
        <x:v>M-0262</x:v>
      </x:c>
      <x:c r="E267" s="16" t="n">
        <x:v>64</x:v>
      </x:c>
      <x:c r="F267" s="17" t="n">
        <x:v>74674.5</x:v>
      </x:c>
      <x:c r="G267" s="17" t="n">
        <x:v>2738.07</x:v>
      </x:c>
      <x:c r="H267" s="17" t="n">
        <x:v>1530.83</x:v>
      </x:c>
      <x:c r="I267" s="17" t="n">
        <x:v>70405.6</x:v>
      </x:c>
      <x:c r="J267" s="17" t="n">
        <x:v>40170.5</x:v>
      </x:c>
      <x:c r="K267" s="17" t="n">
        <x:v>2816.22</x:v>
      </x:c>
      <x:c r="L267" s="17" t="n">
        <x:v>1689.73</x:v>
      </x:c>
      <x:c r="M267" s="17" t="n">
        <x:v>1267.3</x:v>
      </x:c>
      <x:c r="N267" s="16" t="n">
        <x:v>18</x:v>
      </x:c>
      <x:c r="O267" s="16" t="n">
        <x:v>8</x:v>
      </x:c>
      <x:c r="P267" s="16" t="n">
        <x:v>2</x:v>
      </x:c>
      <x:c r="Q267" s="16" t="n">
        <x:v>20</x:v>
      </x:c>
      <x:c r="R267" s="16" t="n">
        <x:v>12</x:v>
      </x:c>
      <x:c r="S267" s="16" t="n">
        <x:v>4</x:v>
      </x:c>
      <x:c r="T267" s="15" t="n">
        <x:f>YEAR(A267)</x:f>
        <x:v>2024</x:v>
      </x:c>
      <x:c r="U267" s="15" t="n">
        <x:f>ROUNDUP(MONTH(A267)/3,0)</x:f>
        <x:v>4</x:v>
      </x:c>
      <x:c r="V267" s="18" t="n">
        <x:f>I267-J267</x:f>
        <x:v>30235.100000000006</x:v>
      </x:c>
      <x:c r="W267" s="19" t="n">
        <x:f>IF(I267=0,"",V267/I267)</x:f>
        <x:v>0.42944169213812544</x:v>
      </x:c>
      <x:c r="X267" s="18" t="n">
        <x:f>I267-J267-K267-L267-M267</x:f>
        <x:v>24461.850000000006</x:v>
      </x:c>
      <x:c r="Y267" s="19" t="n">
        <x:f>IF(I267=0,"",X267/I267)</x:f>
        <x:v>0.34744182280954927</x:v>
      </x:c>
      <x:c r="Z267" s="18" t="n">
        <x:f>IF(E267=0,"",F267/E267)</x:f>
        <x:v>1166.7890625</x:v>
      </x:c>
      <x:c r="AA267" s="18" t="n">
        <x:f>IF(N267=0,"",M267/N267)</x:f>
        <x:v>70.40555555555555</x:v>
      </x:c>
      <x:c r="AB267" s="19" t="n">
        <x:f>IF(E267=0,"",O267/E267)</x:f>
        <x:v>0.125</x:v>
      </x:c>
      <x:c r="AC267" s="19" t="n">
        <x:f>IF(E267=0,"",P267/E267)</x:f>
        <x:v>0.03125</x:v>
      </x:c>
      <x:c r="AD267" s="20" t="n">
        <x:f>IF(Q267=0,"",100*(R267-S267)/Q267)</x:f>
        <x:v>40</x:v>
      </x:c>
      <x:c r="AE267" s="19" t="n">
        <x:f>IF(F267=0,"",G267/F267)</x:f>
        <x:v>0.03666673362392785</x:v>
      </x:c>
      <x:c r="AF267" s="18" t="n">
        <x:f>ROUND(I267-(F267-G267-H267),2)</x:f>
        <x:v>0</x:v>
      </x:c>
    </x:row>
    <x:row r="268" ht="24" customHeight="1">
      <x:c r="A268" s="14" t="n">
        <x:v>45566</x:v>
      </x:c>
      <x:c r="B268" s="2" t="str">
        <x:v>B2B</x:v>
      </x:c>
      <x:c r="C268" s="2" t="str">
        <x:v>Sul</x:v>
      </x:c>
      <x:c r="D268" s="2" t="str">
        <x:v>M-0263</x:v>
      </x:c>
      <x:c r="E268" s="16" t="n">
        <x:v>48</x:v>
      </x:c>
      <x:c r="F268" s="17" t="n">
        <x:v>56272.71</x:v>
      </x:c>
      <x:c r="G268" s="17" t="n">
        <x:v>2063.33</x:v>
      </x:c>
      <x:c r="H268" s="17" t="n">
        <x:v>1153.59</x:v>
      </x:c>
      <x:c r="I268" s="17" t="n">
        <x:v>53055.79</x:v>
      </x:c>
      <x:c r="J268" s="17" t="n">
        <x:v>31056.92</x:v>
      </x:c>
      <x:c r="K268" s="17" t="n">
        <x:v>2122.23</x:v>
      </x:c>
      <x:c r="L268" s="17" t="n">
        <x:v>1273.34</x:v>
      </x:c>
      <x:c r="M268" s="17" t="n">
        <x:v>955</x:v>
      </x:c>
      <x:c r="N268" s="16" t="n">
        <x:v>13</x:v>
      </x:c>
      <x:c r="O268" s="16" t="n">
        <x:v>6</x:v>
      </x:c>
      <x:c r="P268" s="16" t="n">
        <x:v>1</x:v>
      </x:c>
      <x:c r="Q268" s="16" t="n">
        <x:v>15</x:v>
      </x:c>
      <x:c r="R268" s="16" t="n">
        <x:v>9</x:v>
      </x:c>
      <x:c r="S268" s="16" t="n">
        <x:v>3</x:v>
      </x:c>
      <x:c r="T268" s="15" t="n">
        <x:f>YEAR(A268)</x:f>
        <x:v>2024</x:v>
      </x:c>
      <x:c r="U268" s="15" t="n">
        <x:f>ROUNDUP(MONTH(A268)/3,0)</x:f>
        <x:v>4</x:v>
      </x:c>
      <x:c r="V268" s="18" t="n">
        <x:f>I268-J268</x:f>
        <x:v>21998.870000000003</x:v>
      </x:c>
      <x:c r="W268" s="19" t="n">
        <x:f>IF(I268=0,"",V268/I268)</x:f>
        <x:v>0.4146365552185728</x:v>
      </x:c>
      <x:c r="X268" s="18" t="n">
        <x:f>I268-J268-K268-L268-M268</x:f>
        <x:v>17648.300000000003</x:v>
      </x:c>
      <x:c r="Y268" s="19" t="n">
        <x:f>IF(I268=0,"",X268/I268)</x:f>
        <x:v>0.33263664531241555</x:v>
      </x:c>
      <x:c r="Z268" s="18" t="n">
        <x:f>IF(E268=0,"",F268/E268)</x:f>
        <x:v>1172.348125</x:v>
      </x:c>
      <x:c r="AA268" s="18" t="n">
        <x:f>IF(N268=0,"",M268/N268)</x:f>
        <x:v>73.46153846153847</x:v>
      </x:c>
      <x:c r="AB268" s="19" t="n">
        <x:f>IF(E268=0,"",O268/E268)</x:f>
        <x:v>0.125</x:v>
      </x:c>
      <x:c r="AC268" s="19" t="n">
        <x:f>IF(E268=0,"",P268/E268)</x:f>
        <x:v>0.020833333333333332</x:v>
      </x:c>
      <x:c r="AD268" s="20" t="n">
        <x:f>IF(Q268=0,"",100*(R268-S268)/Q268)</x:f>
        <x:v>40</x:v>
      </x:c>
      <x:c r="AE268" s="19" t="n">
        <x:f>IF(F268=0,"",G268/F268)</x:f>
        <x:v>0.036666618686038044</x:v>
      </x:c>
      <x:c r="AF268" s="18" t="n">
        <x:f>ROUND(I268-(F268-G268-H268),2)</x:f>
        <x:v>0</x:v>
      </x:c>
    </x:row>
    <x:row r="269" ht="24" customHeight="1">
      <x:c r="A269" s="14" t="n">
        <x:v>45566</x:v>
      </x:c>
      <x:c r="B269" s="2" t="str">
        <x:v>B2B</x:v>
      </x:c>
      <x:c r="C269" s="2" t="str">
        <x:v>Centro-Oeste</x:v>
      </x:c>
      <x:c r="D269" s="2" t="str">
        <x:v>M-0264</x:v>
      </x:c>
      <x:c r="E269" s="16" t="n">
        <x:v>45</x:v>
      </x:c>
      <x:c r="F269" s="17" t="n">
        <x:v>51917.07</x:v>
      </x:c>
      <x:c r="G269" s="17" t="n">
        <x:v>1903.63</x:v>
      </x:c>
      <x:c r="H269" s="17" t="n">
        <x:v>1064.3</x:v>
      </x:c>
      <x:c r="I269" s="17" t="n">
        <x:v>48949.14</x:v>
      </x:c>
      <x:c r="J269" s="17" t="n">
        <x:v>27932.66</x:v>
      </x:c>
      <x:c r="K269" s="17" t="n">
        <x:v>1957.97</x:v>
      </x:c>
      <x:c r="L269" s="17" t="n">
        <x:v>1174.78</x:v>
      </x:c>
      <x:c r="M269" s="17" t="n">
        <x:v>881.08</x:v>
      </x:c>
      <x:c r="N269" s="16" t="n">
        <x:v>13</x:v>
      </x:c>
      <x:c r="O269" s="16" t="n">
        <x:v>6</x:v>
      </x:c>
      <x:c r="P269" s="16" t="n">
        <x:v>1</x:v>
      </x:c>
      <x:c r="Q269" s="16" t="n">
        <x:v>14</x:v>
      </x:c>
      <x:c r="R269" s="16" t="n">
        <x:v>9</x:v>
      </x:c>
      <x:c r="S269" s="16" t="n">
        <x:v>3</x:v>
      </x:c>
      <x:c r="T269" s="15" t="n">
        <x:f>YEAR(A269)</x:f>
        <x:v>2024</x:v>
      </x:c>
      <x:c r="U269" s="15" t="n">
        <x:f>ROUNDUP(MONTH(A269)/3,0)</x:f>
        <x:v>4</x:v>
      </x:c>
      <x:c r="V269" s="18" t="n">
        <x:f>I269-J269</x:f>
        <x:v>21016.48</x:v>
      </x:c>
      <x:c r="W269" s="19" t="n">
        <x:f>IF(I269=0,"",V269/I269)</x:f>
        <x:v>0.42935340641326897</x:v>
      </x:c>
      <x:c r="X269" s="18" t="n">
        <x:f>I269-J269-K269-L269-M269</x:f>
        <x:v>17002.649999999998</x:v>
      </x:c>
      <x:c r="Y269" s="19" t="n">
        <x:f>IF(I269=0,"",X269/I269)</x:f>
        <x:v>0.3473533957899975</x:v>
      </x:c>
      <x:c r="Z269" s="18" t="n">
        <x:f>IF(E269=0,"",F269/E269)</x:f>
        <x:v>1153.7126666666666</x:v>
      </x:c>
      <x:c r="AA269" s="18" t="n">
        <x:f>IF(N269=0,"",M269/N269)</x:f>
        <x:v>67.77538461538462</x:v>
      </x:c>
      <x:c r="AB269" s="19" t="n">
        <x:f>IF(E269=0,"",O269/E269)</x:f>
        <x:v>0.13333333333333333</x:v>
      </x:c>
      <x:c r="AC269" s="19" t="n">
        <x:f>IF(E269=0,"",P269/E269)</x:f>
        <x:v>0.022222222222222223</x:v>
      </x:c>
      <x:c r="AD269" s="20" t="n">
        <x:f>IF(Q269=0,"",100*(R269-S269)/Q269)</x:f>
        <x:v>42.857142857142854</x:v>
      </x:c>
      <x:c r="AE269" s="19" t="n">
        <x:f>IF(F269=0,"",G269/F269)</x:f>
        <x:v>0.036666745638765826</x:v>
      </x:c>
      <x:c r="AF269" s="18" t="n">
        <x:f>ROUND(I269-(F269-G269-H269),2)</x:f>
        <x:v>0</x:v>
      </x:c>
    </x:row>
    <x:row r="270" ht="24" customHeight="1">
      <x:c r="A270" s="14" t="n">
        <x:v>45597</x:v>
      </x:c>
      <x:c r="B270" s="2" t="str">
        <x:v>E-commerce</x:v>
      </x:c>
      <x:c r="C270" s="2" t="str">
        <x:v>Sudeste</x:v>
      </x:c>
      <x:c r="D270" s="2" t="str">
        <x:v>M-0265</x:v>
      </x:c>
      <x:c r="E270" s="16" t="n">
        <x:v>236</x:v>
      </x:c>
      <x:c r="F270" s="17" t="n">
        <x:v>274670.07</x:v>
      </x:c>
      <x:c r="G270" s="17" t="n">
        <x:v>10223.83</x:v>
      </x:c>
      <x:c r="H270" s="17" t="n">
        <x:v>5768.07</x:v>
      </x:c>
      <x:c r="I270" s="17" t="n">
        <x:v>258678.17</x:v>
      </x:c>
      <x:c r="J270" s="17" t="n">
        <x:v>153986.95</x:v>
      </x:c>
      <x:c r="K270" s="17" t="n">
        <x:v>16038.05</x:v>
      </x:c>
      <x:c r="L270" s="17" t="n">
        <x:v>6208.28</x:v>
      </x:c>
      <x:c r="M270" s="17" t="n">
        <x:v>19400.86</x:v>
      </x:c>
      <x:c r="N270" s="16" t="n">
        <x:v>123</x:v>
      </x:c>
      <x:c r="O270" s="16" t="n">
        <x:v>30</x:v>
      </x:c>
      <x:c r="P270" s="16" t="n">
        <x:v>7</x:v>
      </x:c>
      <x:c r="Q270" s="16" t="n">
        <x:v>76</x:v>
      </x:c>
      <x:c r="R270" s="16" t="n">
        <x:v>46</x:v>
      </x:c>
      <x:c r="S270" s="16" t="n">
        <x:v>14</x:v>
      </x:c>
      <x:c r="T270" s="15" t="n">
        <x:f>YEAR(A270)</x:f>
        <x:v>2024</x:v>
      </x:c>
      <x:c r="U270" s="15" t="n">
        <x:f>ROUNDUP(MONTH(A270)/3,0)</x:f>
        <x:v>4</x:v>
      </x:c>
      <x:c r="V270" s="18" t="n">
        <x:f>I270-J270</x:f>
        <x:v>104691.22</x:v>
      </x:c>
      <x:c r="W270" s="19" t="n">
        <x:f>IF(I270=0,"",V270/I270)</x:f>
        <x:v>0.4047160995456246</x:v>
      </x:c>
      <x:c r="X270" s="18" t="n">
        <x:f>I270-J270-K270-L270-M270</x:f>
        <x:v>63044.03</x:v>
      </x:c>
      <x:c r="Y270" s="19" t="n">
        <x:f>IF(I270=0,"",X270/I270)</x:f>
        <x:v>0.24371608164693603</x:v>
      </x:c>
      <x:c r="Z270" s="18" t="n">
        <x:f>IF(E270=0,"",F270/E270)</x:f>
        <x:v>1163.8562288135593</x:v>
      </x:c>
      <x:c r="AA270" s="18" t="n">
        <x:f>IF(N270=0,"",M270/N270)</x:f>
        <x:v>157.73056910569107</x:v>
      </x:c>
      <x:c r="AB270" s="19" t="n">
        <x:f>IF(E270=0,"",O270/E270)</x:f>
        <x:v>0.1271186440677966</x:v>
      </x:c>
      <x:c r="AC270" s="19" t="n">
        <x:f>IF(E270=0,"",P270/E270)</x:f>
        <x:v>0.029661016949152543</x:v>
      </x:c>
      <x:c r="AD270" s="20" t="n">
        <x:f>IF(Q270=0,"",100*(R270-S270)/Q270)</x:f>
        <x:v>42.10526315789474</x:v>
      </x:c>
      <x:c r="AE270" s="19" t="n">
        <x:f>IF(F270=0,"",G270/F270)</x:f>
        <x:v>0.03722222082660845</x:v>
      </x:c>
      <x:c r="AF270" s="18" t="n">
        <x:f>ROUND(I270-(F270-G270-H270),2)</x:f>
        <x:v>0</x:v>
      </x:c>
    </x:row>
    <x:row r="271" ht="24" customHeight="1">
      <x:c r="A271" s="14" t="n">
        <x:v>45597</x:v>
      </x:c>
      <x:c r="B271" s="2" t="str">
        <x:v>E-commerce</x:v>
      </x:c>
      <x:c r="C271" s="2" t="str">
        <x:v>Nordeste</x:v>
      </x:c>
      <x:c r="D271" s="2" t="str">
        <x:v>M-0266</x:v>
      </x:c>
      <x:c r="E271" s="16" t="n">
        <x:v>167</x:v>
      </x:c>
      <x:c r="F271" s="17" t="n">
        <x:v>193828.54</x:v>
      </x:c>
      <x:c r="G271" s="17" t="n">
        <x:v>7214.73</x:v>
      </x:c>
      <x:c r="H271" s="17" t="n">
        <x:v>4070.4</x:v>
      </x:c>
      <x:c r="I271" s="17" t="n">
        <x:v>182543.41</x:v>
      </x:c>
      <x:c r="J271" s="17" t="n">
        <x:v>103082.04</x:v>
      </x:c>
      <x:c r="K271" s="17" t="n">
        <x:v>11317.69</x:v>
      </x:c>
      <x:c r="L271" s="17" t="n">
        <x:v>4381.04</x:v>
      </x:c>
      <x:c r="M271" s="17" t="n">
        <x:v>13690.76</x:v>
      </x:c>
      <x:c r="N271" s="16" t="n">
        <x:v>87</x:v>
      </x:c>
      <x:c r="O271" s="16" t="n">
        <x:v>21</x:v>
      </x:c>
      <x:c r="P271" s="16" t="n">
        <x:v>5</x:v>
      </x:c>
      <x:c r="Q271" s="16" t="n">
        <x:v>53</x:v>
      </x:c>
      <x:c r="R271" s="16" t="n">
        <x:v>32</x:v>
      </x:c>
      <x:c r="S271" s="16" t="n">
        <x:v>10</x:v>
      </x:c>
      <x:c r="T271" s="15" t="n">
        <x:f>YEAR(A271)</x:f>
        <x:v>2024</x:v>
      </x:c>
      <x:c r="U271" s="15" t="n">
        <x:f>ROUNDUP(MONTH(A271)/3,0)</x:f>
        <x:v>4</x:v>
      </x:c>
      <x:c r="V271" s="18" t="n">
        <x:f>I271-J271</x:f>
        <x:v>79461.37000000001</x:v>
      </x:c>
      <x:c r="W271" s="19" t="n">
        <x:f>IF(I271=0,"",V271/I271)</x:f>
        <x:v>0.43530122506202773</x:v>
      </x:c>
      <x:c r="X271" s="18" t="n">
        <x:f>I271-J271-K271-L271-M271</x:f>
        <x:v>50071.880000000005</x:v>
      </x:c>
      <x:c r="Y271" s="19" t="n">
        <x:f>IF(I271=0,"",X271/I271)</x:f>
        <x:v>0.2743012196386602</x:v>
      </x:c>
      <x:c r="Z271" s="18" t="n">
        <x:f>IF(E271=0,"",F271/E271)</x:f>
        <x:v>1160.6499401197605</x:v>
      </x:c>
      <x:c r="AA271" s="18" t="n">
        <x:f>IF(N271=0,"",M271/N271)</x:f>
        <x:v>157.36505747126438</x:v>
      </x:c>
      <x:c r="AB271" s="19" t="n">
        <x:f>IF(E271=0,"",O271/E271)</x:f>
        <x:v>0.12574850299401197</x:v>
      </x:c>
      <x:c r="AC271" s="19" t="n">
        <x:f>IF(E271=0,"",P271/E271)</x:f>
        <x:v>0.029940119760479042</x:v>
      </x:c>
      <x:c r="AD271" s="20" t="n">
        <x:f>IF(Q271=0,"",100*(R271-S271)/Q271)</x:f>
        <x:v>41.509433962264154</x:v>
      </x:c>
      <x:c r="AE271" s="19" t="n">
        <x:f>IF(F271=0,"",G271/F271)</x:f>
        <x:v>0.0372222274387456</x:v>
      </x:c>
      <x:c r="AF271" s="18" t="n">
        <x:f>ROUND(I271-(F271-G271-H271),2)</x:f>
        <x:v>0</x:v>
      </x:c>
    </x:row>
    <x:row r="272" ht="24" customHeight="1">
      <x:c r="A272" s="14" t="n">
        <x:v>45597</x:v>
      </x:c>
      <x:c r="B272" s="2" t="str">
        <x:v>E-commerce</x:v>
      </x:c>
      <x:c r="C272" s="2" t="str">
        <x:v>Sul</x:v>
      </x:c>
      <x:c r="D272" s="2" t="str">
        <x:v>M-0267</x:v>
      </x:c>
      <x:c r="E272" s="16" t="n">
        <x:v>123</x:v>
      </x:c>
      <x:c r="F272" s="17" t="n">
        <x:v>143260.59</x:v>
      </x:c>
      <x:c r="G272" s="17" t="n">
        <x:v>5332.48</x:v>
      </x:c>
      <x:c r="H272" s="17" t="n">
        <x:v>3008.47</x:v>
      </x:c>
      <x:c r="I272" s="17" t="n">
        <x:v>134919.64</x:v>
      </x:c>
      <x:c r="J272" s="17" t="n">
        <x:v>76880.92</x:v>
      </x:c>
      <x:c r="K272" s="17" t="n">
        <x:v>8365.02</x:v>
      </x:c>
      <x:c r="L272" s="17" t="n">
        <x:v>3238.07</x:v>
      </x:c>
      <x:c r="M272" s="17" t="n">
        <x:v>10118.97</x:v>
      </x:c>
      <x:c r="N272" s="16" t="n">
        <x:v>64</x:v>
      </x:c>
      <x:c r="O272" s="16" t="n">
        <x:v>16</x:v>
      </x:c>
      <x:c r="P272" s="16" t="n">
        <x:v>4</x:v>
      </x:c>
      <x:c r="Q272" s="16" t="n">
        <x:v>39</x:v>
      </x:c>
      <x:c r="R272" s="16" t="n">
        <x:v>24</x:v>
      </x:c>
      <x:c r="S272" s="16" t="n">
        <x:v>7</x:v>
      </x:c>
      <x:c r="T272" s="15" t="n">
        <x:f>YEAR(A272)</x:f>
        <x:v>2024</x:v>
      </x:c>
      <x:c r="U272" s="15" t="n">
        <x:f>ROUNDUP(MONTH(A272)/3,0)</x:f>
        <x:v>4</x:v>
      </x:c>
      <x:c r="V272" s="18" t="n">
        <x:f>I272-J272</x:f>
        <x:v>58038.720000000016</x:v>
      </x:c>
      <x:c r="W272" s="19" t="n">
        <x:f>IF(I272=0,"",V272/I272)</x:f>
        <x:v>0.43017250861327533</x:v>
      </x:c>
      <x:c r="X272" s="18" t="n">
        <x:f>I272-J272-K272-L272-M272</x:f>
        <x:v>36316.66000000001</x:v>
      </x:c>
      <x:c r="Y272" s="19" t="n">
        <x:f>IF(I272=0,"",X272/I272)</x:f>
        <x:v>0.26917252373338685</x:v>
      </x:c>
      <x:c r="Z272" s="18" t="n">
        <x:f>IF(E272=0,"",F272/E272)</x:f>
        <x:v>1164.720243902439</x:v>
      </x:c>
      <x:c r="AA272" s="18" t="n">
        <x:f>IF(N272=0,"",M272/N272)</x:f>
        <x:v>158.10890625</x:v>
      </x:c>
      <x:c r="AB272" s="19" t="n">
        <x:f>IF(E272=0,"",O272/E272)</x:f>
        <x:v>0.13008130081300814</x:v>
      </x:c>
      <x:c r="AC272" s="19" t="n">
        <x:f>IF(E272=0,"",P272/E272)</x:f>
        <x:v>0.032520325203252036</x:v>
      </x:c>
      <x:c r="AD272" s="20" t="n">
        <x:f>IF(Q272=0,"",100*(R272-S272)/Q272)</x:f>
        <x:v>43.58974358974359</x:v>
      </x:c>
      <x:c r="AE272" s="19" t="n">
        <x:f>IF(F272=0,"",G272/F272)</x:f>
        <x:v>0.03722223955660101</x:v>
      </x:c>
      <x:c r="AF272" s="18" t="n">
        <x:f>ROUND(I272-(F272-G272-H272),2)</x:f>
        <x:v>0</x:v>
      </x:c>
    </x:row>
    <x:row r="273" ht="24" customHeight="1">
      <x:c r="A273" s="14" t="n">
        <x:v>45597</x:v>
      </x:c>
      <x:c r="B273" s="2" t="str">
        <x:v>E-commerce</x:v>
      </x:c>
      <x:c r="C273" s="2" t="str">
        <x:v>Centro-Oeste</x:v>
      </x:c>
      <x:c r="D273" s="2" t="str">
        <x:v>M-0268</x:v>
      </x:c>
      <x:c r="E273" s="16" t="n">
        <x:v>95</x:v>
      </x:c>
      <x:c r="F273" s="17" t="n">
        <x:v>109866.78</x:v>
      </x:c>
      <x:c r="G273" s="17" t="n">
        <x:v>4089.49</x:v>
      </x:c>
      <x:c r="H273" s="17" t="n">
        <x:v>2307.2</x:v>
      </x:c>
      <x:c r="I273" s="17" t="n">
        <x:v>103470.09</x:v>
      </x:c>
      <x:c r="J273" s="17" t="n">
        <x:v>59764.08</x:v>
      </x:c>
      <x:c r="K273" s="17" t="n">
        <x:v>6415.15</x:v>
      </x:c>
      <x:c r="L273" s="17" t="n">
        <x:v>2483.28</x:v>
      </x:c>
      <x:c r="M273" s="17" t="n">
        <x:v>7760.26</x:v>
      </x:c>
      <x:c r="N273" s="16" t="n">
        <x:v>49</x:v>
      </x:c>
      <x:c r="O273" s="16" t="n">
        <x:v>12</x:v>
      </x:c>
      <x:c r="P273" s="16" t="n">
        <x:v>3</x:v>
      </x:c>
      <x:c r="Q273" s="16" t="n">
        <x:v>30</x:v>
      </x:c>
      <x:c r="R273" s="16" t="n">
        <x:v>18</x:v>
      </x:c>
      <x:c r="S273" s="16" t="n">
        <x:v>6</x:v>
      </x:c>
      <x:c r="T273" s="15" t="n">
        <x:f>YEAR(A273)</x:f>
        <x:v>2024</x:v>
      </x:c>
      <x:c r="U273" s="15" t="n">
        <x:f>ROUNDUP(MONTH(A273)/3,0)</x:f>
        <x:v>4</x:v>
      </x:c>
      <x:c r="V273" s="18" t="n">
        <x:f>I273-J273</x:f>
        <x:v>43706.009999999995</x:v>
      </x:c>
      <x:c r="W273" s="19" t="n">
        <x:f>IF(I273=0,"",V273/I273)</x:f>
        <x:v>0.4224023580147654</x:v>
      </x:c>
      <x:c r="X273" s="18" t="n">
        <x:f>I273-J273-K273-L273-M273</x:f>
        <x:v>27047.319999999992</x:v>
      </x:c>
      <x:c r="Y273" s="19" t="n">
        <x:f>IF(I273=0,"",X273/I273)</x:f>
        <x:v>0.2614023047626613</x:v>
      </x:c>
      <x:c r="Z273" s="18" t="n">
        <x:f>IF(E273=0,"",F273/E273)</x:f>
        <x:v>1156.4924210526315</x:v>
      </x:c>
      <x:c r="AA273" s="18" t="n">
        <x:f>IF(N273=0,"",M273/N273)</x:f>
        <x:v>158.3726530612245</x:v>
      </x:c>
      <x:c r="AB273" s="19" t="n">
        <x:f>IF(E273=0,"",O273/E273)</x:f>
        <x:v>0.12631578947368421</x:v>
      </x:c>
      <x:c r="AC273" s="19" t="n">
        <x:f>IF(E273=0,"",P273/E273)</x:f>
        <x:v>0.031578947368421054</x:v>
      </x:c>
      <x:c r="AD273" s="20" t="n">
        <x:f>IF(Q273=0,"",100*(R273-S273)/Q273)</x:f>
        <x:v>40</x:v>
      </x:c>
      <x:c r="AE273" s="19" t="n">
        <x:f>IF(F273=0,"",G273/F273)</x:f>
        <x:v>0.03722226136053136</x:v>
      </x:c>
      <x:c r="AF273" s="18" t="n">
        <x:f>ROUND(I273-(F273-G273-H273),2)</x:f>
        <x:v>0</x:v>
      </x:c>
    </x:row>
    <x:row r="274" ht="24" customHeight="1">
      <x:c r="A274" s="14" t="n">
        <x:v>45597</x:v>
      </x:c>
      <x:c r="B274" s="2" t="str">
        <x:v>Lojas</x:v>
      </x:c>
      <x:c r="C274" s="2" t="str">
        <x:v>Sudeste</x:v>
      </x:c>
      <x:c r="D274" s="2" t="str">
        <x:v>M-0269</x:v>
      </x:c>
      <x:c r="E274" s="16" t="n">
        <x:v>223</x:v>
      </x:c>
      <x:c r="F274" s="17" t="n">
        <x:v>258993.01</x:v>
      </x:c>
      <x:c r="G274" s="17" t="n">
        <x:v>9640.3</x:v>
      </x:c>
      <x:c r="H274" s="17" t="n">
        <x:v>5438.85</x:v>
      </x:c>
      <x:c r="I274" s="17" t="n">
        <x:v>243913.86</x:v>
      </x:c>
      <x:c r="J274" s="17" t="n">
        <x:v>138210.43</x:v>
      </x:c>
      <x:c r="K274" s="17" t="n">
        <x:v>10000.47</x:v>
      </x:c>
      <x:c r="L274" s="17" t="n">
        <x:v>5853.93</x:v>
      </x:c>
      <x:c r="M274" s="17" t="n">
        <x:v>4390.45</x:v>
      </x:c>
      <x:c r="N274" s="16" t="n">
        <x:v>62</x:v>
      </x:c>
      <x:c r="O274" s="16" t="n">
        <x:v>29</x:v>
      </x:c>
      <x:c r="P274" s="16" t="n">
        <x:v>6</x:v>
      </x:c>
      <x:c r="Q274" s="16" t="n">
        <x:v>71</x:v>
      </x:c>
      <x:c r="R274" s="16" t="n">
        <x:v>43</x:v>
      </x:c>
      <x:c r="S274" s="16" t="n">
        <x:v>13</x:v>
      </x:c>
      <x:c r="T274" s="15" t="n">
        <x:f>YEAR(A274)</x:f>
        <x:v>2024</x:v>
      </x:c>
      <x:c r="U274" s="15" t="n">
        <x:f>ROUNDUP(MONTH(A274)/3,0)</x:f>
        <x:v>4</x:v>
      </x:c>
      <x:c r="V274" s="18" t="n">
        <x:f>I274-J274</x:f>
        <x:v>105703.43</x:v>
      </x:c>
      <x:c r="W274" s="19" t="n">
        <x:f>IF(I274=0,"",V274/I274)</x:f>
        <x:v>0.43336377030809153</x:v>
      </x:c>
      <x:c r="X274" s="18" t="n">
        <x:f>I274-J274-K274-L274-M274</x:f>
        <x:v>85458.58</x:v>
      </x:c>
      <x:c r="Y274" s="19" t="n">
        <x:f>IF(I274=0,"",X274/I274)</x:f>
        <x:v>0.35036377186601864</x:v>
      </x:c>
      <x:c r="Z274" s="18" t="n">
        <x:f>IF(E274=0,"",F274/E274)</x:f>
        <x:v>1161.4036322869956</x:v>
      </x:c>
      <x:c r="AA274" s="18" t="n">
        <x:f>IF(N274=0,"",M274/N274)</x:f>
        <x:v>70.81370967741935</x:v>
      </x:c>
      <x:c r="AB274" s="19" t="n">
        <x:f>IF(E274=0,"",O274/E274)</x:f>
        <x:v>0.13004484304932734</x:v>
      </x:c>
      <x:c r="AC274" s="19" t="n">
        <x:f>IF(E274=0,"",P274/E274)</x:f>
        <x:v>0.026905829596412557</x:v>
      </x:c>
      <x:c r="AD274" s="20" t="n">
        <x:f>IF(Q274=0,"",100*(R274-S274)/Q274)</x:f>
        <x:v>42.25352112676056</x:v>
      </x:c>
      <x:c r="AE274" s="19" t="n">
        <x:f>IF(F274=0,"",G274/F274)</x:f>
        <x:v>0.037222240090572324</x:v>
      </x:c>
      <x:c r="AF274" s="18" t="n">
        <x:f>ROUND(I274-(F274-G274-H274),2)</x:f>
        <x:v>0</x:v>
      </x:c>
    </x:row>
    <x:row r="275" ht="24" customHeight="1">
      <x:c r="A275" s="14" t="n">
        <x:v>45597</x:v>
      </x:c>
      <x:c r="B275" s="2" t="str">
        <x:v>Lojas</x:v>
      </x:c>
      <x:c r="C275" s="2" t="str">
        <x:v>Nordeste</x:v>
      </x:c>
      <x:c r="D275" s="2" t="str">
        <x:v>M-0270</x:v>
      </x:c>
      <x:c r="E275" s="16" t="n">
        <x:v>133</x:v>
      </x:c>
      <x:c r="F275" s="17" t="n">
        <x:v>154415.64</x:v>
      </x:c>
      <x:c r="G275" s="17" t="n">
        <x:v>5747.69</x:v>
      </x:c>
      <x:c r="H275" s="17" t="n">
        <x:v>3242.73</x:v>
      </x:c>
      <x:c r="I275" s="17" t="n">
        <x:v>145425.22</x:v>
      </x:c>
      <x:c r="J275" s="17" t="n">
        <x:v>83291.35</x:v>
      </x:c>
      <x:c r="K275" s="17" t="n">
        <x:v>5962.43</x:v>
      </x:c>
      <x:c r="L275" s="17" t="n">
        <x:v>3490.21</x:v>
      </x:c>
      <x:c r="M275" s="17" t="n">
        <x:v>2617.65</x:v>
      </x:c>
      <x:c r="N275" s="16" t="n">
        <x:v>37</x:v>
      </x:c>
      <x:c r="O275" s="16" t="n">
        <x:v>17</x:v>
      </x:c>
      <x:c r="P275" s="16" t="n">
        <x:v>4</x:v>
      </x:c>
      <x:c r="Q275" s="16" t="n">
        <x:v>43</x:v>
      </x:c>
      <x:c r="R275" s="16" t="n">
        <x:v>26</x:v>
      </x:c>
      <x:c r="S275" s="16" t="n">
        <x:v>8</x:v>
      </x:c>
      <x:c r="T275" s="15" t="n">
        <x:f>YEAR(A275)</x:f>
        <x:v>2024</x:v>
      </x:c>
      <x:c r="U275" s="15" t="n">
        <x:f>ROUNDUP(MONTH(A275)/3,0)</x:f>
        <x:v>4</x:v>
      </x:c>
      <x:c r="V275" s="18" t="n">
        <x:f>I275-J275</x:f>
        <x:v>62133.869999999995</x:v>
      </x:c>
      <x:c r="W275" s="19" t="n">
        <x:f>IF(I275=0,"",V275/I275)</x:f>
        <x:v>0.42725649650040065</x:v>
      </x:c>
      <x:c r="X275" s="18" t="n">
        <x:f>I275-J275-K275-L275-M275</x:f>
        <x:v>50063.579999999994</x:v>
      </x:c>
      <x:c r="Y275" s="19" t="n">
        <x:f>IF(I275=0,"",X275/I275)</x:f>
        <x:v>0.3442565189174202</x:v>
      </x:c>
      <x:c r="Z275" s="18" t="n">
        <x:f>IF(E275=0,"",F275/E275)</x:f>
        <x:v>1161.0198496240603</x:v>
      </x:c>
      <x:c r="AA275" s="18" t="n">
        <x:f>IF(N275=0,"",M275/N275)</x:f>
        <x:v>70.7472972972973</x:v>
      </x:c>
      <x:c r="AB275" s="19" t="n">
        <x:f>IF(E275=0,"",O275/E275)</x:f>
        <x:v>0.12781954887218044</x:v>
      </x:c>
      <x:c r="AC275" s="19" t="n">
        <x:f>IF(E275=0,"",P275/E275)</x:f>
        <x:v>0.03007518796992481</x:v>
      </x:c>
      <x:c r="AD275" s="20" t="n">
        <x:f>IF(Q275=0,"",100*(R275-S275)/Q275)</x:f>
        <x:v>41.86046511627907</x:v>
      </x:c>
      <x:c r="AE275" s="19" t="n">
        <x:f>IF(F275=0,"",G275/F275)</x:f>
        <x:v>0.03722220106719759</x:v>
      </x:c>
      <x:c r="AF275" s="18" t="n">
        <x:f>ROUND(I275-(F275-G275-H275),2)</x:f>
        <x:v>0</x:v>
      </x:c>
    </x:row>
    <x:row r="276" ht="24" customHeight="1">
      <x:c r="A276" s="14" t="n">
        <x:v>45597</x:v>
      </x:c>
      <x:c r="B276" s="2" t="str">
        <x:v>Lojas</x:v>
      </x:c>
      <x:c r="C276" s="2" t="str">
        <x:v>Sul</x:v>
      </x:c>
      <x:c r="D276" s="2" t="str">
        <x:v>M-0271</x:v>
      </x:c>
      <x:c r="E276" s="16" t="n">
        <x:v>116</x:v>
      </x:c>
      <x:c r="F276" s="17" t="n">
        <x:v>135290.07</x:v>
      </x:c>
      <x:c r="G276" s="17" t="n">
        <x:v>5035.8</x:v>
      </x:c>
      <x:c r="H276" s="17" t="n">
        <x:v>2841.09</x:v>
      </x:c>
      <x:c r="I276" s="17" t="n">
        <x:v>127413.18</x:v>
      </x:c>
      <x:c r="J276" s="17" t="n">
        <x:v>71907.22</x:v>
      </x:c>
      <x:c r="K276" s="17" t="n">
        <x:v>5223.94</x:v>
      </x:c>
      <x:c r="L276" s="17" t="n">
        <x:v>3057.92</x:v>
      </x:c>
      <x:c r="M276" s="17" t="n">
        <x:v>2293.44</x:v>
      </x:c>
      <x:c r="N276" s="16" t="n">
        <x:v>32</x:v>
      </x:c>
      <x:c r="O276" s="16" t="n">
        <x:v>15</x:v>
      </x:c>
      <x:c r="P276" s="16" t="n">
        <x:v>3</x:v>
      </x:c>
      <x:c r="Q276" s="16" t="n">
        <x:v>37</x:v>
      </x:c>
      <x:c r="R276" s="16" t="n">
        <x:v>22</x:v>
      </x:c>
      <x:c r="S276" s="16" t="n">
        <x:v>7</x:v>
      </x:c>
      <x:c r="T276" s="15" t="n">
        <x:f>YEAR(A276)</x:f>
        <x:v>2024</x:v>
      </x:c>
      <x:c r="U276" s="15" t="n">
        <x:f>ROUNDUP(MONTH(A276)/3,0)</x:f>
        <x:v>4</x:v>
      </x:c>
      <x:c r="V276" s="18" t="n">
        <x:f>I276-J276</x:f>
        <x:v>55505.95999999999</x:v>
      </x:c>
      <x:c r="W276" s="19" t="n">
        <x:f>IF(I276=0,"",V276/I276)</x:f>
        <x:v>0.4356375062611262</x:v>
      </x:c>
      <x:c r="X276" s="18" t="n">
        <x:f>I276-J276-K276-L276-M276</x:f>
        <x:v>44930.65999999999</x:v>
      </x:c>
      <x:c r="Y276" s="19" t="n">
        <x:f>IF(I276=0,"",X276/I276)</x:f>
        <x:v>0.3526374586993276</x:v>
      </x:c>
      <x:c r="Z276" s="18" t="n">
        <x:f>IF(E276=0,"",F276/E276)</x:f>
        <x:v>1166.2937068965518</x:v>
      </x:c>
      <x:c r="AA276" s="18" t="n">
        <x:f>IF(N276=0,"",M276/N276)</x:f>
        <x:v>71.67</x:v>
      </x:c>
      <x:c r="AB276" s="19" t="n">
        <x:f>IF(E276=0,"",O276/E276)</x:f>
        <x:v>0.12931034482758622</x:v>
      </x:c>
      <x:c r="AC276" s="19" t="n">
        <x:f>IF(E276=0,"",P276/E276)</x:f>
        <x:v>0.02586206896551724</x:v>
      </x:c>
      <x:c r="AD276" s="20" t="n">
        <x:f>IF(Q276=0,"",100*(R276-S276)/Q276)</x:f>
        <x:v>40.54054054054054</x:v>
      </x:c>
      <x:c r="AE276" s="19" t="n">
        <x:f>IF(F276=0,"",G276/F276)</x:f>
        <x:v>0.0372222440272224</x:v>
      </x:c>
      <x:c r="AF276" s="18" t="n">
        <x:f>ROUND(I276-(F276-G276-H276),2)</x:f>
        <x:v>0</x:v>
      </x:c>
    </x:row>
    <x:row r="277" ht="24" customHeight="1">
      <x:c r="A277" s="14" t="n">
        <x:v>45597</x:v>
      </x:c>
      <x:c r="B277" s="2" t="str">
        <x:v>Lojas</x:v>
      </x:c>
      <x:c r="C277" s="2" t="str">
        <x:v>Centro-Oeste</x:v>
      </x:c>
      <x:c r="D277" s="2" t="str">
        <x:v>M-0272</x:v>
      </x:c>
      <x:c r="E277" s="16" t="n">
        <x:v>98</x:v>
      </x:c>
      <x:c r="F277" s="17" t="n">
        <x:v>113934.1</x:v>
      </x:c>
      <x:c r="G277" s="17" t="n">
        <x:v>4240.88</x:v>
      </x:c>
      <x:c r="H277" s="17" t="n">
        <x:v>2392.62</x:v>
      </x:c>
      <x:c r="I277" s="17" t="n">
        <x:v>107300.6</x:v>
      </x:c>
      <x:c r="J277" s="17" t="n">
        <x:v>61480.32</x:v>
      </x:c>
      <x:c r="K277" s="17" t="n">
        <x:v>4399.32</x:v>
      </x:c>
      <x:c r="L277" s="17" t="n">
        <x:v>2575.21</x:v>
      </x:c>
      <x:c r="M277" s="17" t="n">
        <x:v>1931.41</x:v>
      </x:c>
      <x:c r="N277" s="16" t="n">
        <x:v>27</x:v>
      </x:c>
      <x:c r="O277" s="16" t="n">
        <x:v>13</x:v>
      </x:c>
      <x:c r="P277" s="16" t="n">
        <x:v>3</x:v>
      </x:c>
      <x:c r="Q277" s="16" t="n">
        <x:v>31</x:v>
      </x:c>
      <x:c r="R277" s="16" t="n">
        <x:v>19</x:v>
      </x:c>
      <x:c r="S277" s="16" t="n">
        <x:v>6</x:v>
      </x:c>
      <x:c r="T277" s="15" t="n">
        <x:f>YEAR(A277)</x:f>
        <x:v>2024</x:v>
      </x:c>
      <x:c r="U277" s="15" t="n">
        <x:f>ROUNDUP(MONTH(A277)/3,0)</x:f>
        <x:v>4</x:v>
      </x:c>
      <x:c r="V277" s="18" t="n">
        <x:f>I277-J277</x:f>
        <x:v>45820.280000000006</x:v>
      </x:c>
      <x:c r="W277" s="19" t="n">
        <x:f>IF(I277=0,"",V277/I277)</x:f>
        <x:v>0.42702724868267283</x:v>
      </x:c>
      <x:c r="X277" s="18" t="n">
        <x:f>I277-J277-K277-L277-M277</x:f>
        <x:v>36914.340000000004</x:v>
      </x:c>
      <x:c r="Y277" s="19" t="n">
        <x:f>IF(I277=0,"",X277/I277)</x:f>
        <x:v>0.3440273400148741</x:v>
      </x:c>
      <x:c r="Z277" s="18" t="n">
        <x:f>IF(E277=0,"",F277/E277)</x:f>
        <x:v>1162.5928571428572</x:v>
      </x:c>
      <x:c r="AA277" s="18" t="n">
        <x:f>IF(N277=0,"",M277/N277)</x:f>
        <x:v>71.53370370370371</x:v>
      </x:c>
      <x:c r="AB277" s="19" t="n">
        <x:f>IF(E277=0,"",O277/E277)</x:f>
        <x:v>0.1326530612244898</x:v>
      </x:c>
      <x:c r="AC277" s="19" t="n">
        <x:f>IF(E277=0,"",P277/E277)</x:f>
        <x:v>0.030612244897959183</x:v>
      </x:c>
      <x:c r="AD277" s="20" t="n">
        <x:f>IF(Q277=0,"",100*(R277-S277)/Q277)</x:f>
        <x:v>41.935483870967744</x:v>
      </x:c>
      <x:c r="AE277" s="19" t="n">
        <x:f>IF(F277=0,"",G277/F277)</x:f>
        <x:v>0.03722221880894307</x:v>
      </x:c>
      <x:c r="AF277" s="18" t="n">
        <x:f>ROUND(I277-(F277-G277-H277),2)</x:f>
        <x:v>0</x:v>
      </x:c>
    </x:row>
    <x:row r="278" ht="24" customHeight="1">
      <x:c r="A278" s="14" t="n">
        <x:v>45597</x:v>
      </x:c>
      <x:c r="B278" s="2" t="str">
        <x:v>B2B</x:v>
      </x:c>
      <x:c r="C278" s="2" t="str">
        <x:v>Sudeste</x:v>
      </x:c>
      <x:c r="D278" s="2" t="str">
        <x:v>M-0273</x:v>
      </x:c>
      <x:c r="E278" s="16" t="n">
        <x:v>122</x:v>
      </x:c>
      <x:c r="F278" s="17" t="n">
        <x:v>142346.16</x:v>
      </x:c>
      <x:c r="G278" s="17" t="n">
        <x:v>5298.44</x:v>
      </x:c>
      <x:c r="H278" s="17" t="n">
        <x:v>2989.27</x:v>
      </x:c>
      <x:c r="I278" s="17" t="n">
        <x:v>134058.45</x:v>
      </x:c>
      <x:c r="J278" s="17" t="n">
        <x:v>81138.61</x:v>
      </x:c>
      <x:c r="K278" s="17" t="n">
        <x:v>5496.4</x:v>
      </x:c>
      <x:c r="L278" s="17" t="n">
        <x:v>3217.4</x:v>
      </x:c>
      <x:c r="M278" s="17" t="n">
        <x:v>2413.05</x:v>
      </x:c>
      <x:c r="N278" s="16" t="n">
        <x:v>34</x:v>
      </x:c>
      <x:c r="O278" s="16" t="n">
        <x:v>16</x:v>
      </x:c>
      <x:c r="P278" s="16" t="n">
        <x:v>4</x:v>
      </x:c>
      <x:c r="Q278" s="16" t="n">
        <x:v>39</x:v>
      </x:c>
      <x:c r="R278" s="16" t="n">
        <x:v>24</x:v>
      </x:c>
      <x:c r="S278" s="16" t="n">
        <x:v>7</x:v>
      </x:c>
      <x:c r="T278" s="15" t="n">
        <x:f>YEAR(A278)</x:f>
        <x:v>2024</x:v>
      </x:c>
      <x:c r="U278" s="15" t="n">
        <x:f>ROUNDUP(MONTH(A278)/3,0)</x:f>
        <x:v>4</x:v>
      </x:c>
      <x:c r="V278" s="18" t="n">
        <x:f>I278-J278</x:f>
        <x:v>52919.84000000001</x:v>
      </x:c>
      <x:c r="W278" s="19" t="n">
        <x:f>IF(I278=0,"",V278/I278)</x:f>
        <x:v>0.3947519906428875</x:v>
      </x:c>
      <x:c r="X278" s="18" t="n">
        <x:f>I278-J278-K278-L278-M278</x:f>
        <x:v>41792.990000000005</x:v>
      </x:c>
      <x:c r="Y278" s="19" t="n">
        <x:f>IF(I278=0,"",X278/I278)</x:f>
        <x:v>0.3117520007131218</x:v>
      </x:c>
      <x:c r="Z278" s="18" t="n">
        <x:f>IF(E278=0,"",F278/E278)</x:f>
        <x:v>1166.7718032786886</x:v>
      </x:c>
      <x:c r="AA278" s="18" t="n">
        <x:f>IF(N278=0,"",M278/N278)</x:f>
        <x:v>70.97205882352942</x:v>
      </x:c>
      <x:c r="AB278" s="19" t="n">
        <x:f>IF(E278=0,"",O278/E278)</x:f>
        <x:v>0.13114754098360656</x:v>
      </x:c>
      <x:c r="AC278" s="19" t="n">
        <x:f>IF(E278=0,"",P278/E278)</x:f>
        <x:v>0.03278688524590164</x:v>
      </x:c>
      <x:c r="AD278" s="20" t="n">
        <x:f>IF(Q278=0,"",100*(R278-S278)/Q278)</x:f>
        <x:v>43.58974358974359</x:v>
      </x:c>
      <x:c r="AE278" s="19" t="n">
        <x:f>IF(F278=0,"",G278/F278)</x:f>
        <x:v>0.037222219412171</x:v>
      </x:c>
      <x:c r="AF278" s="18" t="n">
        <x:f>ROUND(I278-(F278-G278-H278),2)</x:f>
        <x:v>0</x:v>
      </x:c>
    </x:row>
    <x:row r="279" ht="24" customHeight="1">
      <x:c r="A279" s="14" t="n">
        <x:v>45597</x:v>
      </x:c>
      <x:c r="B279" s="2" t="str">
        <x:v>B2B</x:v>
      </x:c>
      <x:c r="C279" s="2" t="str">
        <x:v>Nordeste</x:v>
      </x:c>
      <x:c r="D279" s="2" t="str">
        <x:v>M-0274</x:v>
      </x:c>
      <x:c r="E279" s="16" t="n">
        <x:v>93</x:v>
      </x:c>
      <x:c r="F279" s="17" t="n">
        <x:v>107642.94</x:v>
      </x:c>
      <x:c r="G279" s="17" t="n">
        <x:v>4006.71</x:v>
      </x:c>
      <x:c r="H279" s="17" t="n">
        <x:v>2260.5</x:v>
      </x:c>
      <x:c r="I279" s="17" t="n">
        <x:v>101375.73</x:v>
      </x:c>
      <x:c r="J279" s="17" t="n">
        <x:v>58609.2</x:v>
      </x:c>
      <x:c r="K279" s="17" t="n">
        <x:v>4156.4</x:v>
      </x:c>
      <x:c r="L279" s="17" t="n">
        <x:v>2433.02</x:v>
      </x:c>
      <x:c r="M279" s="17" t="n">
        <x:v>1824.76</x:v>
      </x:c>
      <x:c r="N279" s="16" t="n">
        <x:v>26</x:v>
      </x:c>
      <x:c r="O279" s="16" t="n">
        <x:v>12</x:v>
      </x:c>
      <x:c r="P279" s="16" t="n">
        <x:v>3</x:v>
      </x:c>
      <x:c r="Q279" s="16" t="n">
        <x:v>30</x:v>
      </x:c>
      <x:c r="R279" s="16" t="n">
        <x:v>18</x:v>
      </x:c>
      <x:c r="S279" s="16" t="n">
        <x:v>6</x:v>
      </x:c>
      <x:c r="T279" s="15" t="n">
        <x:f>YEAR(A279)</x:f>
        <x:v>2024</x:v>
      </x:c>
      <x:c r="U279" s="15" t="n">
        <x:f>ROUNDUP(MONTH(A279)/3,0)</x:f>
        <x:v>4</x:v>
      </x:c>
      <x:c r="V279" s="18" t="n">
        <x:f>I279-J279</x:f>
        <x:v>42766.53</x:v>
      </x:c>
      <x:c r="W279" s="19" t="n">
        <x:f>IF(I279=0,"",V279/I279)</x:f>
        <x:v>0.4218616230926278</x:v>
      </x:c>
      <x:c r="X279" s="18" t="n">
        <x:f>I279-J279-K279-L279-M279</x:f>
        <x:v>34352.35</x:v>
      </x:c>
      <x:c r="Y279" s="19" t="n">
        <x:f>IF(I279=0,"",X279/I279)</x:f>
        <x:v>0.33886167823403096</x:v>
      </x:c>
      <x:c r="Z279" s="18" t="n">
        <x:f>IF(E279=0,"",F279/E279)</x:f>
        <x:v>1157.4509677419355</x:v>
      </x:c>
      <x:c r="AA279" s="18" t="n">
        <x:f>IF(N279=0,"",M279/N279)</x:f>
        <x:v>70.18307692307692</x:v>
      </x:c>
      <x:c r="AB279" s="19" t="n">
        <x:f>IF(E279=0,"",O279/E279)</x:f>
        <x:v>0.12903225806451613</x:v>
      </x:c>
      <x:c r="AC279" s="19" t="n">
        <x:f>IF(E279=0,"",P279/E279)</x:f>
        <x:v>0.03225806451612903</x:v>
      </x:c>
      <x:c r="AD279" s="20" t="n">
        <x:f>IF(Q279=0,"",100*(R279-S279)/Q279)</x:f>
        <x:v>40</x:v>
      </x:c>
      <x:c r="AE279" s="19" t="n">
        <x:f>IF(F279=0,"",G279/F279)</x:f>
        <x:v>0.03722222748654022</x:v>
      </x:c>
      <x:c r="AF279" s="18" t="n">
        <x:f>ROUND(I279-(F279-G279-H279),2)</x:f>
        <x:v>0</x:v>
      </x:c>
    </x:row>
    <x:row r="280" ht="24" customHeight="1">
      <x:c r="A280" s="14" t="n">
        <x:v>45597</x:v>
      </x:c>
      <x:c r="B280" s="2" t="str">
        <x:v>B2B</x:v>
      </x:c>
      <x:c r="C280" s="2" t="str">
        <x:v>Sul</x:v>
      </x:c>
      <x:c r="D280" s="2" t="str">
        <x:v>M-0275</x:v>
      </x:c>
      <x:c r="E280" s="16" t="n">
        <x:v>64</x:v>
      </x:c>
      <x:c r="F280" s="17" t="n">
        <x:v>74703.67</x:v>
      </x:c>
      <x:c r="G280" s="17" t="n">
        <x:v>2780.64</x:v>
      </x:c>
      <x:c r="H280" s="17" t="n">
        <x:v>1568.78</x:v>
      </x:c>
      <x:c r="I280" s="17" t="n">
        <x:v>70354.25</x:v>
      </x:c>
      <x:c r="J280" s="17" t="n">
        <x:v>40402.89</x:v>
      </x:c>
      <x:c r="K280" s="17" t="n">
        <x:v>2884.52</x:v>
      </x:c>
      <x:c r="L280" s="17" t="n">
        <x:v>1688.5</x:v>
      </x:c>
      <x:c r="M280" s="17" t="n">
        <x:v>1266.38</x:v>
      </x:c>
      <x:c r="N280" s="16" t="n">
        <x:v>18</x:v>
      </x:c>
      <x:c r="O280" s="16" t="n">
        <x:v>8</x:v>
      </x:c>
      <x:c r="P280" s="16" t="n">
        <x:v>2</x:v>
      </x:c>
      <x:c r="Q280" s="16" t="n">
        <x:v>20</x:v>
      </x:c>
      <x:c r="R280" s="16" t="n">
        <x:v>12</x:v>
      </x:c>
      <x:c r="S280" s="16" t="n">
        <x:v>4</x:v>
      </x:c>
      <x:c r="T280" s="15" t="n">
        <x:f>YEAR(A280)</x:f>
        <x:v>2024</x:v>
      </x:c>
      <x:c r="U280" s="15" t="n">
        <x:f>ROUNDUP(MONTH(A280)/3,0)</x:f>
        <x:v>4</x:v>
      </x:c>
      <x:c r="V280" s="18" t="n">
        <x:f>I280-J280</x:f>
        <x:v>29951.36</x:v>
      </x:c>
      <x:c r="W280" s="19" t="n">
        <x:f>IF(I280=0,"",V280/I280)</x:f>
        <x:v>0.4257221134473042</x:v>
      </x:c>
      <x:c r="X280" s="18" t="n">
        <x:f>I280-J280-K280-L280-M280</x:f>
        <x:v>24111.96</x:v>
      </x:c>
      <x:c r="Y280" s="19" t="n">
        <x:f>IF(I280=0,"",X280/I280)</x:f>
        <x:v>0.34272215253520577</x:v>
      </x:c>
      <x:c r="Z280" s="18" t="n">
        <x:f>IF(E280=0,"",F280/E280)</x:f>
        <x:v>1167.24484375</x:v>
      </x:c>
      <x:c r="AA280" s="18" t="n">
        <x:f>IF(N280=0,"",M280/N280)</x:f>
        <x:v>70.35444444444445</x:v>
      </x:c>
      <x:c r="AB280" s="19" t="n">
        <x:f>IF(E280=0,"",O280/E280)</x:f>
        <x:v>0.125</x:v>
      </x:c>
      <x:c r="AC280" s="19" t="n">
        <x:f>IF(E280=0,"",P280/E280)</x:f>
        <x:v>0.03125</x:v>
      </x:c>
      <x:c r="AD280" s="20" t="n">
        <x:f>IF(Q280=0,"",100*(R280-S280)/Q280)</x:f>
        <x:v>40</x:v>
      </x:c>
      <x:c r="AE280" s="19" t="n">
        <x:f>IF(F280=0,"",G280/F280)</x:f>
        <x:v>0.03722226766101317</x:v>
      </x:c>
      <x:c r="AF280" s="18" t="n">
        <x:f>ROUND(I280-(F280-G280-H280),2)</x:f>
        <x:v>0</x:v>
      </x:c>
    </x:row>
    <x:row r="281" ht="24" customHeight="1">
      <x:c r="A281" s="14" t="n">
        <x:v>45597</x:v>
      </x:c>
      <x:c r="B281" s="2" t="str">
        <x:v>B2B</x:v>
      </x:c>
      <x:c r="C281" s="2" t="str">
        <x:v>Centro-Oeste</x:v>
      </x:c>
      <x:c r="D281" s="2" t="str">
        <x:v>M-0276</x:v>
      </x:c>
      <x:c r="E281" s="16" t="n">
        <x:v>59</x:v>
      </x:c>
      <x:c r="F281" s="17" t="n">
        <x:v>68676.71</x:v>
      </x:c>
      <x:c r="G281" s="17" t="n">
        <x:v>2556.3</x:v>
      </x:c>
      <x:c r="H281" s="17" t="n">
        <x:v>1442.21</x:v>
      </x:c>
      <x:c r="I281" s="17" t="n">
        <x:v>64678.2</x:v>
      </x:c>
      <x:c r="J281" s="17" t="n">
        <x:v>37156.66</x:v>
      </x:c>
      <x:c r="K281" s="17" t="n">
        <x:v>2651.81</x:v>
      </x:c>
      <x:c r="L281" s="17" t="n">
        <x:v>1552.28</x:v>
      </x:c>
      <x:c r="M281" s="17" t="n">
        <x:v>1164.21</x:v>
      </x:c>
      <x:c r="N281" s="16" t="n">
        <x:v>17</x:v>
      </x:c>
      <x:c r="O281" s="16" t="n">
        <x:v>8</x:v>
      </x:c>
      <x:c r="P281" s="16" t="n">
        <x:v>2</x:v>
      </x:c>
      <x:c r="Q281" s="16" t="n">
        <x:v>19</x:v>
      </x:c>
      <x:c r="R281" s="16" t="n">
        <x:v>12</x:v>
      </x:c>
      <x:c r="S281" s="16" t="n">
        <x:v>4</x:v>
      </x:c>
      <x:c r="T281" s="15" t="n">
        <x:f>YEAR(A281)</x:f>
        <x:v>2024</x:v>
      </x:c>
      <x:c r="U281" s="15" t="n">
        <x:f>ROUNDUP(MONTH(A281)/3,0)</x:f>
        <x:v>4</x:v>
      </x:c>
      <x:c r="V281" s="18" t="n">
        <x:f>I281-J281</x:f>
        <x:v>27521.539999999994</x:v>
      </x:c>
      <x:c r="W281" s="19" t="n">
        <x:f>IF(I281=0,"",V281/I281)</x:f>
        <x:v>0.42551493393446316</x:v>
      </x:c>
      <x:c r="X281" s="18" t="n">
        <x:f>I281-J281-K281-L281-M281</x:f>
        <x:v>22153.239999999994</x:v>
      </x:c>
      <x:c r="Y281" s="19" t="n">
        <x:f>IF(I281=0,"",X281/I281)</x:f>
        <x:v>0.342514788599559</x:v>
      </x:c>
      <x:c r="Z281" s="18" t="n">
        <x:f>IF(E281=0,"",F281/E281)</x:f>
        <x:v>1164.0120338983052</x:v>
      </x:c>
      <x:c r="AA281" s="18" t="n">
        <x:f>IF(N281=0,"",M281/N281)</x:f>
        <x:v>68.48294117647059</x:v>
      </x:c>
      <x:c r="AB281" s="19" t="n">
        <x:f>IF(E281=0,"",O281/E281)</x:f>
        <x:v>0.13559322033898305</x:v>
      </x:c>
      <x:c r="AC281" s="19" t="n">
        <x:f>IF(E281=0,"",P281/E281)</x:f>
        <x:v>0.03389830508474576</x:v>
      </x:c>
      <x:c r="AD281" s="20" t="n">
        <x:f>IF(Q281=0,"",100*(R281-S281)/Q281)</x:f>
        <x:v>42.10526315789474</x:v>
      </x:c>
      <x:c r="AE281" s="19" t="n">
        <x:f>IF(F281=0,"",G281/F281)</x:f>
        <x:v>0.037222225700677854</x:v>
      </x:c>
      <x:c r="AF281" s="18" t="n">
        <x:f>ROUND(I281-(F281-G281-H281),2)</x:f>
        <x:v>0</x:v>
      </x:c>
    </x:row>
    <x:row r="282" ht="24" customHeight="1">
      <x:c r="A282" s="14" t="n">
        <x:v>45627</x:v>
      </x:c>
      <x:c r="B282" s="2" t="str">
        <x:v>E-commerce</x:v>
      </x:c>
      <x:c r="C282" s="2" t="str">
        <x:v>Sudeste</x:v>
      </x:c>
      <x:c r="D282" s="2" t="str">
        <x:v>M-0277</x:v>
      </x:c>
      <x:c r="E282" s="16" t="n">
        <x:v>243</x:v>
      </x:c>
      <x:c r="F282" s="17" t="n">
        <x:v>281835.84</x:v>
      </x:c>
      <x:c r="G282" s="17" t="n">
        <x:v>10647.13</x:v>
      </x:c>
      <x:c r="H282" s="17" t="n">
        <x:v>6059.47</x:v>
      </x:c>
      <x:c r="I282" s="17" t="n">
        <x:v>265129.24</x:v>
      </x:c>
      <x:c r="J282" s="17" t="n">
        <x:v>150816.39</x:v>
      </x:c>
      <x:c r="K282" s="17" t="n">
        <x:v>16703.14</x:v>
      </x:c>
      <x:c r="L282" s="17" t="n">
        <x:v>6363.1</x:v>
      </x:c>
      <x:c r="M282" s="17" t="n">
        <x:v>19884.69</x:v>
      </x:c>
      <x:c r="N282" s="16" t="n">
        <x:v>126</x:v>
      </x:c>
      <x:c r="O282" s="16" t="n">
        <x:v>32</x:v>
      </x:c>
      <x:c r="P282" s="16" t="n">
        <x:v>7</x:v>
      </x:c>
      <x:c r="Q282" s="16" t="n">
        <x:v>78</x:v>
      </x:c>
      <x:c r="R282" s="16" t="n">
        <x:v>47</x:v>
      </x:c>
      <x:c r="S282" s="16" t="n">
        <x:v>15</x:v>
      </x:c>
      <x:c r="T282" s="15" t="n">
        <x:f>YEAR(A282)</x:f>
        <x:v>2024</x:v>
      </x:c>
      <x:c r="U282" s="15" t="n">
        <x:f>ROUNDUP(MONTH(A282)/3,0)</x:f>
        <x:v>4</x:v>
      </x:c>
      <x:c r="V282" s="18" t="n">
        <x:f>I282-J282</x:f>
        <x:v>114312.84999999998</x:v>
      </x:c>
      <x:c r="W282" s="19" t="n">
        <x:f>IF(I282=0,"",V282/I282)</x:f>
        <x:v>0.4311589698669222</x:v>
      </x:c>
      <x:c r="X282" s="18" t="n">
        <x:f>I282-J282-K282-L282-M282</x:f>
        <x:v>71361.91999999997</x:v>
      </x:c>
      <x:c r="Y282" s="19" t="n">
        <x:f>IF(I282=0,"",X282/I282)</x:f>
        <x:v>0.26915899581653074</x:v>
      </x:c>
      <x:c r="Z282" s="18" t="n">
        <x:f>IF(E282=0,"",F282/E282)</x:f>
        <x:v>1159.8182716049384</x:v>
      </x:c>
      <x:c r="AA282" s="18" t="n">
        <x:f>IF(N282=0,"",M282/N282)</x:f>
        <x:v>157.815</x:v>
      </x:c>
      <x:c r="AB282" s="19" t="n">
        <x:f>IF(E282=0,"",O282/E282)</x:f>
        <x:v>0.13168724279835392</x:v>
      </x:c>
      <x:c r="AC282" s="19" t="n">
        <x:f>IF(E282=0,"",P282/E282)</x:f>
        <x:v>0.02880658436213992</x:v>
      </x:c>
      <x:c r="AD282" s="20" t="n">
        <x:f>IF(Q282=0,"",100*(R282-S282)/Q282)</x:f>
        <x:v>41.02564102564103</x:v>
      </x:c>
      <x:c r="AE282" s="19" t="n">
        <x:f>IF(F282=0,"",G282/F282)</x:f>
        <x:v>0.037777771627625495</x:v>
      </x:c>
      <x:c r="AF282" s="18" t="n">
        <x:f>ROUND(I282-(F282-G282-H282),2)</x:f>
        <x:v>0</x:v>
      </x:c>
    </x:row>
    <x:row r="283" ht="24" customHeight="1">
      <x:c r="A283" s="14" t="n">
        <x:v>45627</x:v>
      </x:c>
      <x:c r="B283" s="2" t="str">
        <x:v>E-commerce</x:v>
      </x:c>
      <x:c r="C283" s="2" t="str">
        <x:v>Nordeste</x:v>
      </x:c>
      <x:c r="D283" s="2" t="str">
        <x:v>M-0278</x:v>
      </x:c>
      <x:c r="E283" s="16" t="n">
        <x:v>180</x:v>
      </x:c>
      <x:c r="F283" s="17" t="n">
        <x:v>208824.5</x:v>
      </x:c>
      <x:c r="G283" s="17" t="n">
        <x:v>7888.93</x:v>
      </x:c>
      <x:c r="H283" s="17" t="n">
        <x:v>4489.73</x:v>
      </x:c>
      <x:c r="I283" s="17" t="n">
        <x:v>196445.84</x:v>
      </x:c>
      <x:c r="J283" s="17" t="n">
        <x:v>120632.85</x:v>
      </x:c>
      <x:c r="K283" s="17" t="n">
        <x:v>12376.09</x:v>
      </x:c>
      <x:c r="L283" s="17" t="n">
        <x:v>4714.7</x:v>
      </x:c>
      <x:c r="M283" s="17" t="n">
        <x:v>14733.44</x:v>
      </x:c>
      <x:c r="N283" s="16" t="n">
        <x:v>94</x:v>
      </x:c>
      <x:c r="O283" s="16" t="n">
        <x:v>24</x:v>
      </x:c>
      <x:c r="P283" s="16" t="n">
        <x:v>5</x:v>
      </x:c>
      <x:c r="Q283" s="16" t="n">
        <x:v>58</x:v>
      </x:c>
      <x:c r="R283" s="16" t="n">
        <x:v>35</x:v>
      </x:c>
      <x:c r="S283" s="16" t="n">
        <x:v>11</x:v>
      </x:c>
      <x:c r="T283" s="15" t="n">
        <x:f>YEAR(A283)</x:f>
        <x:v>2024</x:v>
      </x:c>
      <x:c r="U283" s="15" t="n">
        <x:f>ROUNDUP(MONTH(A283)/3,0)</x:f>
        <x:v>4</x:v>
      </x:c>
      <x:c r="V283" s="18" t="n">
        <x:f>I283-J283</x:f>
        <x:v>75812.98999999999</x:v>
      </x:c>
      <x:c r="W283" s="19" t="n">
        <x:f>IF(I283=0,"",V283/I283)</x:f>
        <x:v>0.3859231124466672</x:v>
      </x:c>
      <x:c r="X283" s="18" t="n">
        <x:f>I283-J283-K283-L283-M283</x:f>
        <x:v>43988.759999999995</x:v>
      </x:c>
      <x:c r="Y283" s="19" t="n">
        <x:f>IF(I283=0,"",X283/I283)</x:f>
        <x:v>0.22392309249205783</x:v>
      </x:c>
      <x:c r="Z283" s="18" t="n">
        <x:f>IF(E283=0,"",F283/E283)</x:f>
        <x:v>1160.1361111111112</x:v>
      </x:c>
      <x:c r="AA283" s="18" t="n">
        <x:f>IF(N283=0,"",M283/N283)</x:f>
        <x:v>156.73872340425532</x:v>
      </x:c>
      <x:c r="AB283" s="19" t="n">
        <x:f>IF(E283=0,"",O283/E283)</x:f>
        <x:v>0.13333333333333333</x:v>
      </x:c>
      <x:c r="AC283" s="19" t="n">
        <x:f>IF(E283=0,"",P283/E283)</x:f>
        <x:v>0.027777777777777776</x:v>
      </x:c>
      <x:c r="AD283" s="20" t="n">
        <x:f>IF(Q283=0,"",100*(R283-S283)/Q283)</x:f>
        <x:v>41.37931034482759</x:v>
      </x:c>
      <x:c r="AE283" s="19" t="n">
        <x:f>IF(F283=0,"",G283/F283)</x:f>
        <x:v>0.037777799060933946</x:v>
      </x:c>
      <x:c r="AF283" s="18" t="n">
        <x:f>ROUND(I283-(F283-G283-H283),2)</x:f>
        <x:v>0</x:v>
      </x:c>
    </x:row>
    <x:row r="284" ht="24" customHeight="1">
      <x:c r="A284" s="14" t="n">
        <x:v>45627</x:v>
      </x:c>
      <x:c r="B284" s="2" t="str">
        <x:v>E-commerce</x:v>
      </x:c>
      <x:c r="C284" s="2" t="str">
        <x:v>Sul</x:v>
      </x:c>
      <x:c r="D284" s="2" t="str">
        <x:v>M-0279</x:v>
      </x:c>
      <x:c r="E284" s="16" t="n">
        <x:v>133</x:v>
      </x:c>
      <x:c r="F284" s="17" t="n">
        <x:v>154468.79</x:v>
      </x:c>
      <x:c r="G284" s="17" t="n">
        <x:v>5835.49</x:v>
      </x:c>
      <x:c r="H284" s="17" t="n">
        <x:v>3321.08</x:v>
      </x:c>
      <x:c r="I284" s="17" t="n">
        <x:v>145312.22</x:v>
      </x:c>
      <x:c r="J284" s="17" t="n">
        <x:v>82951.63</x:v>
      </x:c>
      <x:c r="K284" s="17" t="n">
        <x:v>9154.67</x:v>
      </x:c>
      <x:c r="L284" s="17" t="n">
        <x:v>3487.49</x:v>
      </x:c>
      <x:c r="M284" s="17" t="n">
        <x:v>10898.42</x:v>
      </x:c>
      <x:c r="N284" s="16" t="n">
        <x:v>69</x:v>
      </x:c>
      <x:c r="O284" s="16" t="n">
        <x:v>18</x:v>
      </x:c>
      <x:c r="P284" s="16" t="n">
        <x:v>4</x:v>
      </x:c>
      <x:c r="Q284" s="16" t="n">
        <x:v>43</x:v>
      </x:c>
      <x:c r="R284" s="16" t="n">
        <x:v>26</x:v>
      </x:c>
      <x:c r="S284" s="16" t="n">
        <x:v>8</x:v>
      </x:c>
      <x:c r="T284" s="15" t="n">
        <x:f>YEAR(A284)</x:f>
        <x:v>2024</x:v>
      </x:c>
      <x:c r="U284" s="15" t="n">
        <x:f>ROUNDUP(MONTH(A284)/3,0)</x:f>
        <x:v>4</x:v>
      </x:c>
      <x:c r="V284" s="18" t="n">
        <x:f>I284-J284</x:f>
        <x:v>62360.59</x:v>
      </x:c>
      <x:c r="W284" s="19" t="n">
        <x:f>IF(I284=0,"",V284/I284)</x:f>
        <x:v>0.4291489731558708</x:v>
      </x:c>
      <x:c r="X284" s="18" t="n">
        <x:f>I284-J284-K284-L284-M284</x:f>
        <x:v>38820.01</x:v>
      </x:c>
      <x:c r="Y284" s="19" t="n">
        <x:f>IF(I284=0,"",X284/I284)</x:f>
        <x:v>0.26714897067844673</x:v>
      </x:c>
      <x:c r="Z284" s="18" t="n">
        <x:f>IF(E284=0,"",F284/E284)</x:f>
        <x:v>1161.4194736842105</x:v>
      </x:c>
      <x:c r="AA284" s="18" t="n">
        <x:f>IF(N284=0,"",M284/N284)</x:f>
        <x:v>157.94811594202898</x:v>
      </x:c>
      <x:c r="AB284" s="19" t="n">
        <x:f>IF(E284=0,"",O284/E284)</x:f>
        <x:v>0.13533834586466165</x:v>
      </x:c>
      <x:c r="AC284" s="19" t="n">
        <x:f>IF(E284=0,"",P284/E284)</x:f>
        <x:v>0.03007518796992481</x:v>
      </x:c>
      <x:c r="AD284" s="20" t="n">
        <x:f>IF(Q284=0,"",100*(R284-S284)/Q284)</x:f>
        <x:v>41.86046511627907</x:v>
      </x:c>
      <x:c r="AE284" s="19" t="n">
        <x:f>IF(F284=0,"",G284/F284)</x:f>
        <x:v>0.03777779317103474</x:v>
      </x:c>
      <x:c r="AF284" s="18" t="n">
        <x:f>ROUND(I284-(F284-G284-H284),2)</x:f>
        <x:v>0</x:v>
      </x:c>
    </x:row>
    <x:row r="285" ht="24" customHeight="1">
      <x:c r="A285" s="14" t="n">
        <x:v>45627</x:v>
      </x:c>
      <x:c r="B285" s="2" t="str">
        <x:v>E-commerce</x:v>
      </x:c>
      <x:c r="C285" s="2" t="str">
        <x:v>Centro-Oeste</x:v>
      </x:c>
      <x:c r="D285" s="2" t="str">
        <x:v>M-0280</x:v>
      </x:c>
      <x:c r="E285" s="16" t="n">
        <x:v>96</x:v>
      </x:c>
      <x:c r="F285" s="17" t="n">
        <x:v>112133.65</x:v>
      </x:c>
      <x:c r="G285" s="17" t="n">
        <x:v>4236.16</x:v>
      </x:c>
      <x:c r="H285" s="17" t="n">
        <x:v>2410.87</x:v>
      </x:c>
      <x:c r="I285" s="17" t="n">
        <x:v>105486.62</x:v>
      </x:c>
      <x:c r="J285" s="17" t="n">
        <x:v>64163.61</x:v>
      </x:c>
      <x:c r="K285" s="17" t="n">
        <x:v>6645.66</x:v>
      </x:c>
      <x:c r="L285" s="17" t="n">
        <x:v>2531.68</x:v>
      </x:c>
      <x:c r="M285" s="17" t="n">
        <x:v>7911.5</x:v>
      </x:c>
      <x:c r="N285" s="16" t="n">
        <x:v>50</x:v>
      </x:c>
      <x:c r="O285" s="16" t="n">
        <x:v>13</x:v>
      </x:c>
      <x:c r="P285" s="16" t="n">
        <x:v>3</x:v>
      </x:c>
      <x:c r="Q285" s="16" t="n">
        <x:v>31</x:v>
      </x:c>
      <x:c r="R285" s="16" t="n">
        <x:v>19</x:v>
      </x:c>
      <x:c r="S285" s="16" t="n">
        <x:v>6</x:v>
      </x:c>
      <x:c r="T285" s="15" t="n">
        <x:f>YEAR(A285)</x:f>
        <x:v>2024</x:v>
      </x:c>
      <x:c r="U285" s="15" t="n">
        <x:f>ROUNDUP(MONTH(A285)/3,0)</x:f>
        <x:v>4</x:v>
      </x:c>
      <x:c r="V285" s="18" t="n">
        <x:f>I285-J285</x:f>
        <x:v>41323.009999999995</x:v>
      </x:c>
      <x:c r="W285" s="19" t="n">
        <x:f>IF(I285=0,"",V285/I285)</x:f>
        <x:v>0.39173698048150557</x:v>
      </x:c>
      <x:c r="X285" s="18" t="n">
        <x:f>I285-J285-K285-L285-M285</x:f>
        <x:v>24234.16999999999</x:v>
      </x:c>
      <x:c r="Y285" s="19" t="n">
        <x:f>IF(I285=0,"",X285/I285)</x:f>
        <x:v>0.22973690881364853</x:v>
      </x:c>
      <x:c r="Z285" s="18" t="n">
        <x:f>IF(E285=0,"",F285/E285)</x:f>
        <x:v>1168.0588541666666</x:v>
      </x:c>
      <x:c r="AA285" s="18" t="n">
        <x:f>IF(N285=0,"",M285/N285)</x:f>
        <x:v>158.23</x:v>
      </x:c>
      <x:c r="AB285" s="19" t="n">
        <x:f>IF(E285=0,"",O285/E285)</x:f>
        <x:v>0.13541666666666666</x:v>
      </x:c>
      <x:c r="AC285" s="19" t="n">
        <x:f>IF(E285=0,"",P285/E285)</x:f>
        <x:v>0.03125</x:v>
      </x:c>
      <x:c r="AD285" s="20" t="n">
        <x:f>IF(Q285=0,"",100*(R285-S285)/Q285)</x:f>
        <x:v>41.935483870967744</x:v>
      </x:c>
      <x:c r="AE285" s="19" t="n">
        <x:f>IF(F285=0,"",G285/F285)</x:f>
        <x:v>0.03777777678689671</x:v>
      </x:c>
      <x:c r="AF285" s="18" t="n">
        <x:f>ROUND(I285-(F285-G285-H285),2)</x:f>
        <x:v>0</x:v>
      </x:c>
    </x:row>
    <x:row r="286" ht="24" customHeight="1">
      <x:c r="A286" s="14" t="n">
        <x:v>45627</x:v>
      </x:c>
      <x:c r="B286" s="2" t="str">
        <x:v>Lojas</x:v>
      </x:c>
      <x:c r="C286" s="2" t="str">
        <x:v>Sudeste</x:v>
      </x:c>
      <x:c r="D286" s="2" t="str">
        <x:v>M-0281</x:v>
      </x:c>
      <x:c r="E286" s="16" t="n">
        <x:v>217</x:v>
      </x:c>
      <x:c r="F286" s="17" t="n">
        <x:v>252688.46</x:v>
      </x:c>
      <x:c r="G286" s="17" t="n">
        <x:v>9546.01</x:v>
      </x:c>
      <x:c r="H286" s="17" t="n">
        <x:v>5432.8</x:v>
      </x:c>
      <x:c r="I286" s="17" t="n">
        <x:v>237709.65</x:v>
      </x:c>
      <x:c r="J286" s="17" t="n">
        <x:v>141342.7</x:v>
      </x:c>
      <x:c r="K286" s="17" t="n">
        <x:v>9983.81</x:v>
      </x:c>
      <x:c r="L286" s="17" t="n">
        <x:v>5705.03</x:v>
      </x:c>
      <x:c r="M286" s="17" t="n">
        <x:v>4278.77</x:v>
      </x:c>
      <x:c r="N286" s="16" t="n">
        <x:v>61</x:v>
      </x:c>
      <x:c r="O286" s="16" t="n">
        <x:v>29</x:v>
      </x:c>
      <x:c r="P286" s="16" t="n">
        <x:v>6</x:v>
      </x:c>
      <x:c r="Q286" s="16" t="n">
        <x:v>69</x:v>
      </x:c>
      <x:c r="R286" s="16" t="n">
        <x:v>42</x:v>
      </x:c>
      <x:c r="S286" s="16" t="n">
        <x:v>13</x:v>
      </x:c>
      <x:c r="T286" s="15" t="n">
        <x:f>YEAR(A286)</x:f>
        <x:v>2024</x:v>
      </x:c>
      <x:c r="U286" s="15" t="n">
        <x:f>ROUNDUP(MONTH(A286)/3,0)</x:f>
        <x:v>4</x:v>
      </x:c>
      <x:c r="V286" s="18" t="n">
        <x:f>I286-J286</x:f>
        <x:v>96366.94999999998</x:v>
      </x:c>
      <x:c r="W286" s="19" t="n">
        <x:f>IF(I286=0,"",V286/I286)</x:f>
        <x:v>0.40539771944470904</x:v>
      </x:c>
      <x:c r="X286" s="18" t="n">
        <x:f>I286-J286-K286-L286-M286</x:f>
        <x:v>76399.33999999998</x:v>
      </x:c>
      <x:c r="Y286" s="19" t="n">
        <x:f>IF(I286=0,"",X286/I286)</x:f>
        <x:v>0.32139772196879673</x:v>
      </x:c>
      <x:c r="Z286" s="18" t="n">
        <x:f>IF(E286=0,"",F286/E286)</x:f>
        <x:v>1164.4629493087557</x:v>
      </x:c>
      <x:c r="AA286" s="18" t="n">
        <x:f>IF(N286=0,"",M286/N286)</x:f>
        <x:v>70.14377049180328</x:v>
      </x:c>
      <x:c r="AB286" s="19" t="n">
        <x:f>IF(E286=0,"",O286/E286)</x:f>
        <x:v>0.1336405529953917</x:v>
      </x:c>
      <x:c r="AC286" s="19" t="n">
        <x:f>IF(E286=0,"",P286/E286)</x:f>
        <x:v>0.027649769585253458</x:v>
      </x:c>
      <x:c r="AD286" s="20" t="n">
        <x:f>IF(Q286=0,"",100*(R286-S286)/Q286)</x:f>
        <x:v>42.028985507246375</x:v>
      </x:c>
      <x:c r="AE286" s="19" t="n">
        <x:f>IF(F286=0,"",G286/F286)</x:f>
        <x:v>0.03777778375791281</x:v>
      </x:c>
      <x:c r="AF286" s="18" t="n">
        <x:f>ROUND(I286-(F286-G286-H286),2)</x:f>
        <x:v>0</x:v>
      </x:c>
    </x:row>
    <x:row r="287" ht="24" customHeight="1">
      <x:c r="A287" s="14" t="n">
        <x:v>45627</x:v>
      </x:c>
      <x:c r="B287" s="2" t="str">
        <x:v>Lojas</x:v>
      </x:c>
      <x:c r="C287" s="2" t="str">
        <x:v>Nordeste</x:v>
      </x:c>
      <x:c r="D287" s="2" t="str">
        <x:v>M-0282</x:v>
      </x:c>
      <x:c r="E287" s="16" t="n">
        <x:v>136</x:v>
      </x:c>
      <x:c r="F287" s="17" t="n">
        <x:v>157640.56</x:v>
      </x:c>
      <x:c r="G287" s="17" t="n">
        <x:v>5955.31</x:v>
      </x:c>
      <x:c r="H287" s="17" t="n">
        <x:v>3389.27</x:v>
      </x:c>
      <x:c r="I287" s="17" t="n">
        <x:v>148295.98</x:v>
      </x:c>
      <x:c r="J287" s="17" t="n">
        <x:v>89191.39</x:v>
      </x:c>
      <x:c r="K287" s="17" t="n">
        <x:v>6228.43</x:v>
      </x:c>
      <x:c r="L287" s="17" t="n">
        <x:v>3559.1</x:v>
      </x:c>
      <x:c r="M287" s="17" t="n">
        <x:v>2669.33</x:v>
      </x:c>
      <x:c r="N287" s="16" t="n">
        <x:v>38</x:v>
      </x:c>
      <x:c r="O287" s="16" t="n">
        <x:v>18</x:v>
      </x:c>
      <x:c r="P287" s="16" t="n">
        <x:v>4</x:v>
      </x:c>
      <x:c r="Q287" s="16" t="n">
        <x:v>44</x:v>
      </x:c>
      <x:c r="R287" s="16" t="n">
        <x:v>26</x:v>
      </x:c>
      <x:c r="S287" s="16" t="n">
        <x:v>8</x:v>
      </x:c>
      <x:c r="T287" s="15" t="n">
        <x:f>YEAR(A287)</x:f>
        <x:v>2024</x:v>
      </x:c>
      <x:c r="U287" s="15" t="n">
        <x:f>ROUNDUP(MONTH(A287)/3,0)</x:f>
        <x:v>4</x:v>
      </x:c>
      <x:c r="V287" s="18" t="n">
        <x:f>I287-J287</x:f>
        <x:v>59104.59000000001</x:v>
      </x:c>
      <x:c r="W287" s="19" t="n">
        <x:f>IF(I287=0,"",V287/I287)</x:f>
        <x:v>0.3985582751467707</x:v>
      </x:c>
      <x:c r="X287" s="18" t="n">
        <x:f>I287-J287-K287-L287-M287</x:f>
        <x:v>46647.73000000001</x:v>
      </x:c>
      <x:c r="Y287" s="19" t="n">
        <x:f>IF(I287=0,"",X287/I287)</x:f>
        <x:v>0.3145582907911597</x:v>
      </x:c>
      <x:c r="Z287" s="18" t="n">
        <x:f>IF(E287=0,"",F287/E287)</x:f>
        <x:v>1159.1217647058822</x:v>
      </x:c>
      <x:c r="AA287" s="18" t="n">
        <x:f>IF(N287=0,"",M287/N287)</x:f>
        <x:v>70.24552631578948</x:v>
      </x:c>
      <x:c r="AB287" s="19" t="n">
        <x:f>IF(E287=0,"",O287/E287)</x:f>
        <x:v>0.1323529411764706</x:v>
      </x:c>
      <x:c r="AC287" s="19" t="n">
        <x:f>IF(E287=0,"",P287/E287)</x:f>
        <x:v>0.029411764705882353</x:v>
      </x:c>
      <x:c r="AD287" s="20" t="n">
        <x:f>IF(Q287=0,"",100*(R287-S287)/Q287)</x:f>
        <x:v>40.90909090909091</x:v>
      </x:c>
      <x:c r="AE287" s="19" t="n">
        <x:f>IF(F287=0,"",G287/F287)</x:f>
        <x:v>0.03777777749584244</x:v>
      </x:c>
      <x:c r="AF287" s="18" t="n">
        <x:f>ROUND(I287-(F287-G287-H287),2)</x:f>
        <x:v>0</x:v>
      </x:c>
    </x:row>
    <x:row r="288" ht="24" customHeight="1">
      <x:c r="A288" s="14" t="n">
        <x:v>45627</x:v>
      </x:c>
      <x:c r="B288" s="2" t="str">
        <x:v>Lojas</x:v>
      </x:c>
      <x:c r="C288" s="2" t="str">
        <x:v>Sul</x:v>
      </x:c>
      <x:c r="D288" s="2" t="str">
        <x:v>M-0283</x:v>
      </x:c>
      <x:c r="E288" s="16" t="n">
        <x:v>103</x:v>
      </x:c>
      <x:c r="F288" s="17" t="n">
        <x:v>120260.58</x:v>
      </x:c>
      <x:c r="G288" s="17" t="n">
        <x:v>4543.18</x:v>
      </x:c>
      <x:c r="H288" s="17" t="n">
        <x:v>2585.6</x:v>
      </x:c>
      <x:c r="I288" s="17" t="n">
        <x:v>113131.8</x:v>
      </x:c>
      <x:c r="J288" s="17" t="n">
        <x:v>69537.89</x:v>
      </x:c>
      <x:c r="K288" s="17" t="n">
        <x:v>4751.54</x:v>
      </x:c>
      <x:c r="L288" s="17" t="n">
        <x:v>2715.16</x:v>
      </x:c>
      <x:c r="M288" s="17" t="n">
        <x:v>2036.37</x:v>
      </x:c>
      <x:c r="N288" s="16" t="n">
        <x:v>29</x:v>
      </x:c>
      <x:c r="O288" s="16" t="n">
        <x:v>14</x:v>
      </x:c>
      <x:c r="P288" s="16" t="n">
        <x:v>3</x:v>
      </x:c>
      <x:c r="Q288" s="16" t="n">
        <x:v>33</x:v>
      </x:c>
      <x:c r="R288" s="16" t="n">
        <x:v>20</x:v>
      </x:c>
      <x:c r="S288" s="16" t="n">
        <x:v>6</x:v>
      </x:c>
      <x:c r="T288" s="15" t="n">
        <x:f>YEAR(A288)</x:f>
        <x:v>2024</x:v>
      </x:c>
      <x:c r="U288" s="15" t="n">
        <x:f>ROUNDUP(MONTH(A288)/3,0)</x:f>
        <x:v>4</x:v>
      </x:c>
      <x:c r="V288" s="18" t="n">
        <x:f>I288-J288</x:f>
        <x:v>43593.91</x:v>
      </x:c>
      <x:c r="W288" s="19" t="n">
        <x:f>IF(I288=0,"",V288/I288)</x:f>
        <x:v>0.38533736756597176</x:v>
      </x:c>
      <x:c r="X288" s="18" t="n">
        <x:f>I288-J288-K288-L288-M288</x:f>
        <x:v>34090.840000000004</x:v>
      </x:c>
      <x:c r="Y288" s="19" t="n">
        <x:f>IF(I288=0,"",X288/I288)</x:f>
        <x:v>0.30133737817306894</x:v>
      </x:c>
      <x:c r="Z288" s="18" t="n">
        <x:f>IF(E288=0,"",F288/E288)</x:f>
        <x:v>1167.5784466019418</x:v>
      </x:c>
      <x:c r="AA288" s="18" t="n">
        <x:f>IF(N288=0,"",M288/N288)</x:f>
        <x:v>70.2196551724138</x:v>
      </x:c>
      <x:c r="AB288" s="19" t="n">
        <x:f>IF(E288=0,"",O288/E288)</x:f>
        <x:v>0.13592233009708737</x:v>
      </x:c>
      <x:c r="AC288" s="19" t="n">
        <x:f>IF(E288=0,"",P288/E288)</x:f>
        <x:v>0.02912621359223301</x:v>
      </x:c>
      <x:c r="AD288" s="20" t="n">
        <x:f>IF(Q288=0,"",100*(R288-S288)/Q288)</x:f>
        <x:v>42.42424242424242</x:v>
      </x:c>
      <x:c r="AE288" s="19" t="n">
        <x:f>IF(F288=0,"",G288/F288)</x:f>
        <x:v>0.037777798843145444</x:v>
      </x:c>
      <x:c r="AF288" s="18" t="n">
        <x:f>ROUND(I288-(F288-G288-H288),2)</x:f>
        <x:v>0</x:v>
      </x:c>
    </x:row>
    <x:row r="289" ht="24" customHeight="1">
      <x:c r="A289" s="14" t="n">
        <x:v>45627</x:v>
      </x:c>
      <x:c r="B289" s="2" t="str">
        <x:v>Lojas</x:v>
      </x:c>
      <x:c r="C289" s="2" t="str">
        <x:v>Centro-Oeste</x:v>
      </x:c>
      <x:c r="D289" s="2" t="str">
        <x:v>M-0284</x:v>
      </x:c>
      <x:c r="E289" s="16" t="n">
        <x:v>101</x:v>
      </x:c>
      <x:c r="F289" s="17" t="n">
        <x:v>116839.47</x:v>
      </x:c>
      <x:c r="G289" s="17" t="n">
        <x:v>4413.94</x:v>
      </x:c>
      <x:c r="H289" s="17" t="n">
        <x:v>2512.05</x:v>
      </x:c>
      <x:c r="I289" s="17" t="n">
        <x:v>109913.48</x:v>
      </x:c>
      <x:c r="J289" s="17" t="n">
        <x:v>64724.47</x:v>
      </x:c>
      <x:c r="K289" s="17" t="n">
        <x:v>4616.37</x:v>
      </x:c>
      <x:c r="L289" s="17" t="n">
        <x:v>2637.92</x:v>
      </x:c>
      <x:c r="M289" s="17" t="n">
        <x:v>1978.44</x:v>
      </x:c>
      <x:c r="N289" s="16" t="n">
        <x:v>28</x:v>
      </x:c>
      <x:c r="O289" s="16" t="n">
        <x:v>13</x:v>
      </x:c>
      <x:c r="P289" s="16" t="n">
        <x:v>3</x:v>
      </x:c>
      <x:c r="Q289" s="16" t="n">
        <x:v>32</x:v>
      </x:c>
      <x:c r="R289" s="16" t="n">
        <x:v>19</x:v>
      </x:c>
      <x:c r="S289" s="16" t="n">
        <x:v>6</x:v>
      </x:c>
      <x:c r="T289" s="15" t="n">
        <x:f>YEAR(A289)</x:f>
        <x:v>2024</x:v>
      </x:c>
      <x:c r="U289" s="15" t="n">
        <x:f>ROUNDUP(MONTH(A289)/3,0)</x:f>
        <x:v>4</x:v>
      </x:c>
      <x:c r="V289" s="18" t="n">
        <x:f>I289-J289</x:f>
        <x:v>45189.009999999995</x:v>
      </x:c>
      <x:c r="W289" s="19" t="n">
        <x:f>IF(I289=0,"",V289/I289)</x:f>
        <x:v>0.41113255626152495</x:v>
      </x:c>
      <x:c r="X289" s="18" t="n">
        <x:f>I289-J289-K289-L289-M289</x:f>
        <x:v>35956.27999999999</x:v>
      </x:c>
      <x:c r="Y289" s="19" t="n">
        <x:f>IF(I289=0,"",X289/I289)</x:f>
        <x:v>0.327132577369036</x:v>
      </x:c>
      <x:c r="Z289" s="18" t="n">
        <x:f>IF(E289=0,"",F289/E289)</x:f>
        <x:v>1156.8264356435643</x:v>
      </x:c>
      <x:c r="AA289" s="18" t="n">
        <x:f>IF(N289=0,"",M289/N289)</x:f>
        <x:v>70.65857142857143</x:v>
      </x:c>
      <x:c r="AB289" s="19" t="n">
        <x:f>IF(E289=0,"",O289/E289)</x:f>
        <x:v>0.12871287128712872</x:v>
      </x:c>
      <x:c r="AC289" s="19" t="n">
        <x:f>IF(E289=0,"",P289/E289)</x:f>
        <x:v>0.0297029702970297</x:v>
      </x:c>
      <x:c r="AD289" s="20" t="n">
        <x:f>IF(Q289=0,"",100*(R289-S289)/Q289)</x:f>
        <x:v>40.625</x:v>
      </x:c>
      <x:c r="AE289" s="19" t="n">
        <x:f>IF(F289=0,"",G289/F289)</x:f>
        <x:v>0.03777781600686822</x:v>
      </x:c>
      <x:c r="AF289" s="18" t="n">
        <x:f>ROUND(I289-(F289-G289-H289),2)</x:f>
        <x:v>0</x:v>
      </x:c>
    </x:row>
    <x:row r="290" ht="24" customHeight="1">
      <x:c r="A290" s="14" t="n">
        <x:v>45627</x:v>
      </x:c>
      <x:c r="B290" s="2" t="str">
        <x:v>B2B</x:v>
      </x:c>
      <x:c r="C290" s="2" t="str">
        <x:v>Sudeste</x:v>
      </x:c>
      <x:c r="D290" s="2" t="str">
        <x:v>M-0285</x:v>
      </x:c>
      <x:c r="E290" s="16" t="n">
        <x:v>133</x:v>
      </x:c>
      <x:c r="F290" s="17" t="n">
        <x:v>154690.85</x:v>
      </x:c>
      <x:c r="G290" s="17" t="n">
        <x:v>5843.88</x:v>
      </x:c>
      <x:c r="H290" s="17" t="n">
        <x:v>3325.85</x:v>
      </x:c>
      <x:c r="I290" s="17" t="n">
        <x:v>145521.12</x:v>
      </x:c>
      <x:c r="J290" s="17" t="n">
        <x:v>84974.97</x:v>
      </x:c>
      <x:c r="K290" s="17" t="n">
        <x:v>6111.89</x:v>
      </x:c>
      <x:c r="L290" s="17" t="n">
        <x:v>3492.51</x:v>
      </x:c>
      <x:c r="M290" s="17" t="n">
        <x:v>2619.38</x:v>
      </x:c>
      <x:c r="N290" s="16" t="n">
        <x:v>37</x:v>
      </x:c>
      <x:c r="O290" s="16" t="n">
        <x:v>18</x:v>
      </x:c>
      <x:c r="P290" s="16" t="n">
        <x:v>4</x:v>
      </x:c>
      <x:c r="Q290" s="16" t="n">
        <x:v>43</x:v>
      </x:c>
      <x:c r="R290" s="16" t="n">
        <x:v>26</x:v>
      </x:c>
      <x:c r="S290" s="16" t="n">
        <x:v>8</x:v>
      </x:c>
      <x:c r="T290" s="15" t="n">
        <x:f>YEAR(A290)</x:f>
        <x:v>2024</x:v>
      </x:c>
      <x:c r="U290" s="15" t="n">
        <x:f>ROUNDUP(MONTH(A290)/3,0)</x:f>
        <x:v>4</x:v>
      </x:c>
      <x:c r="V290" s="18" t="n">
        <x:f>I290-J290</x:f>
        <x:v>60546.149999999994</x:v>
      </x:c>
      <x:c r="W290" s="19" t="n">
        <x:f>IF(I290=0,"",V290/I290)</x:f>
        <x:v>0.41606434859764685</x:v>
      </x:c>
      <x:c r="X290" s="18" t="n">
        <x:f>I290-J290-K290-L290-M290</x:f>
        <x:v>48322.369999999995</x:v>
      </x:c>
      <x:c r="Y290" s="19" t="n">
        <x:f>IF(I290=0,"",X290/I290)</x:f>
        <x:v>0.3320643079162667</x:v>
      </x:c>
      <x:c r="Z290" s="18" t="n">
        <x:f>IF(E290=0,"",F290/E290)</x:f>
        <x:v>1163.089097744361</x:v>
      </x:c>
      <x:c r="AA290" s="18" t="n">
        <x:f>IF(N290=0,"",M290/N290)</x:f>
        <x:v>70.79405405405406</x:v>
      </x:c>
      <x:c r="AB290" s="19" t="n">
        <x:f>IF(E290=0,"",O290/E290)</x:f>
        <x:v>0.13533834586466165</x:v>
      </x:c>
      <x:c r="AC290" s="19" t="n">
        <x:f>IF(E290=0,"",P290/E290)</x:f>
        <x:v>0.03007518796992481</x:v>
      </x:c>
      <x:c r="AD290" s="20" t="n">
        <x:f>IF(Q290=0,"",100*(R290-S290)/Q290)</x:f>
        <x:v>41.86046511627907</x:v>
      </x:c>
      <x:c r="AE290" s="19" t="n">
        <x:f>IF(F290=0,"",G290/F290)</x:f>
        <x:v>0.037777800044411156</x:v>
      </x:c>
      <x:c r="AF290" s="18" t="n">
        <x:f>ROUND(I290-(F290-G290-H290),2)</x:f>
        <x:v>0</x:v>
      </x:c>
    </x:row>
    <x:row r="291" ht="24" customHeight="1">
      <x:c r="A291" s="14" t="n">
        <x:v>45627</x:v>
      </x:c>
      <x:c r="B291" s="2" t="str">
        <x:v>B2B</x:v>
      </x:c>
      <x:c r="C291" s="2" t="str">
        <x:v>Nordeste</x:v>
      </x:c>
      <x:c r="D291" s="2" t="str">
        <x:v>M-0286</x:v>
      </x:c>
      <x:c r="E291" s="16" t="n">
        <x:v>95</x:v>
      </x:c>
      <x:c r="F291" s="17" t="n">
        <x:v>110205.85</x:v>
      </x:c>
      <x:c r="G291" s="17" t="n">
        <x:v>4163.33</x:v>
      </x:c>
      <x:c r="H291" s="17" t="n">
        <x:v>2369.43</x:v>
      </x:c>
      <x:c r="I291" s="17" t="n">
        <x:v>103673.09</x:v>
      </x:c>
      <x:c r="J291" s="17" t="n">
        <x:v>59992.18</x:v>
      </x:c>
      <x:c r="K291" s="17" t="n">
        <x:v>4354.27</x:v>
      </x:c>
      <x:c r="L291" s="17" t="n">
        <x:v>2488.15</x:v>
      </x:c>
      <x:c r="M291" s="17" t="n">
        <x:v>1866.12</x:v>
      </x:c>
      <x:c r="N291" s="16" t="n">
        <x:v>27</x:v>
      </x:c>
      <x:c r="O291" s="16" t="n">
        <x:v>13</x:v>
      </x:c>
      <x:c r="P291" s="16" t="n">
        <x:v>3</x:v>
      </x:c>
      <x:c r="Q291" s="16" t="n">
        <x:v>30</x:v>
      </x:c>
      <x:c r="R291" s="16" t="n">
        <x:v>18</x:v>
      </x:c>
      <x:c r="S291" s="16" t="n">
        <x:v>6</x:v>
      </x:c>
      <x:c r="T291" s="15" t="n">
        <x:f>YEAR(A291)</x:f>
        <x:v>2024</x:v>
      </x:c>
      <x:c r="U291" s="15" t="n">
        <x:f>ROUNDUP(MONTH(A291)/3,0)</x:f>
        <x:v>4</x:v>
      </x:c>
      <x:c r="V291" s="18" t="n">
        <x:f>I291-J291</x:f>
        <x:v>43680.909999999996</x:v>
      </x:c>
      <x:c r="W291" s="19" t="n">
        <x:f>IF(I291=0,"",V291/I291)</x:f>
        <x:v>0.42133315405183736</x:v>
      </x:c>
      <x:c r="X291" s="18" t="n">
        <x:f>I291-J291-K291-L291-M291</x:f>
        <x:v>34972.369999999995</x:v>
      </x:c>
      <x:c r="Y291" s="19" t="n">
        <x:f>IF(I291=0,"",X291/I291)</x:f>
        <x:v>0.33733314980772733</x:v>
      </x:c>
      <x:c r="Z291" s="18" t="n">
        <x:f>IF(E291=0,"",F291/E291)</x:f>
        <x:v>1160.0615789473684</x:v>
      </x:c>
      <x:c r="AA291" s="18" t="n">
        <x:f>IF(N291=0,"",M291/N291)</x:f>
        <x:v>69.11555555555555</x:v>
      </x:c>
      <x:c r="AB291" s="19" t="n">
        <x:f>IF(E291=0,"",O291/E291)</x:f>
        <x:v>0.1368421052631579</x:v>
      </x:c>
      <x:c r="AC291" s="19" t="n">
        <x:f>IF(E291=0,"",P291/E291)</x:f>
        <x:v>0.031578947368421054</x:v>
      </x:c>
      <x:c r="AD291" s="20" t="n">
        <x:f>IF(Q291=0,"",100*(R291-S291)/Q291)</x:f>
        <x:v>40</x:v>
      </x:c>
      <x:c r="AE291" s="19" t="n">
        <x:f>IF(F291=0,"",G291/F291)</x:f>
        <x:v>0.037777758621706556</x:v>
      </x:c>
      <x:c r="AF291" s="18" t="n">
        <x:f>ROUND(I291-(F291-G291-H291),2)</x:f>
        <x:v>0</x:v>
      </x:c>
    </x:row>
    <x:row r="292" ht="24" customHeight="1">
      <x:c r="A292" s="14" t="n">
        <x:v>45627</x:v>
      </x:c>
      <x:c r="B292" s="2" t="str">
        <x:v>B2B</x:v>
      </x:c>
      <x:c r="C292" s="2" t="str">
        <x:v>Sul</x:v>
      </x:c>
      <x:c r="D292" s="2" t="str">
        <x:v>M-0287</x:v>
      </x:c>
      <x:c r="E292" s="16" t="n">
        <x:v>64</x:v>
      </x:c>
      <x:c r="F292" s="17" t="n">
        <x:v>74883.48</x:v>
      </x:c>
      <x:c r="G292" s="17" t="n">
        <x:v>2828.93</x:v>
      </x:c>
      <x:c r="H292" s="17" t="n">
        <x:v>1609.99</x:v>
      </x:c>
      <x:c r="I292" s="17" t="n">
        <x:v>70444.56</x:v>
      </x:c>
      <x:c r="J292" s="17" t="n">
        <x:v>42254.63</x:v>
      </x:c>
      <x:c r="K292" s="17" t="n">
        <x:v>2958.67</x:v>
      </x:c>
      <x:c r="L292" s="17" t="n">
        <x:v>1690.67</x:v>
      </x:c>
      <x:c r="M292" s="17" t="n">
        <x:v>1268</x:v>
      </x:c>
      <x:c r="N292" s="16" t="n">
        <x:v>18</x:v>
      </x:c>
      <x:c r="O292" s="16" t="n">
        <x:v>8</x:v>
      </x:c>
      <x:c r="P292" s="16" t="n">
        <x:v>2</x:v>
      </x:c>
      <x:c r="Q292" s="16" t="n">
        <x:v>20</x:v>
      </x:c>
      <x:c r="R292" s="16" t="n">
        <x:v>12</x:v>
      </x:c>
      <x:c r="S292" s="16" t="n">
        <x:v>4</x:v>
      </x:c>
      <x:c r="T292" s="15" t="n">
        <x:f>YEAR(A292)</x:f>
        <x:v>2024</x:v>
      </x:c>
      <x:c r="U292" s="15" t="n">
        <x:f>ROUNDUP(MONTH(A292)/3,0)</x:f>
        <x:v>4</x:v>
      </x:c>
      <x:c r="V292" s="18" t="n">
        <x:f>I292-J292</x:f>
        <x:v>28189.93</x:v>
      </x:c>
      <x:c r="W292" s="19" t="n">
        <x:f>IF(I292=0,"",V292/I292)</x:f>
        <x:v>0.40017185145311435</x:v>
      </x:c>
      <x:c r="X292" s="18" t="n">
        <x:f>I292-J292-K292-L292-M292</x:f>
        <x:v>22272.590000000004</x:v>
      </x:c>
      <x:c r="Y292" s="19" t="n">
        <x:f>IF(I292=0,"",X292/I292)</x:f>
        <x:v>0.31617189460761774</x:v>
      </x:c>
      <x:c r="Z292" s="18" t="n">
        <x:f>IF(E292=0,"",F292/E292)</x:f>
        <x:v>1170.054375</x:v>
      </x:c>
      <x:c r="AA292" s="18" t="n">
        <x:f>IF(N292=0,"",M292/N292)</x:f>
        <x:v>70.44444444444444</x:v>
      </x:c>
      <x:c r="AB292" s="19" t="n">
        <x:f>IF(E292=0,"",O292/E292)</x:f>
        <x:v>0.125</x:v>
      </x:c>
      <x:c r="AC292" s="19" t="n">
        <x:f>IF(E292=0,"",P292/E292)</x:f>
        <x:v>0.03125</x:v>
      </x:c>
      <x:c r="AD292" s="20" t="n">
        <x:f>IF(Q292=0,"",100*(R292-S292)/Q292)</x:f>
        <x:v>40</x:v>
      </x:c>
      <x:c r="AE292" s="19" t="n">
        <x:f>IF(F292=0,"",G292/F292)</x:f>
        <x:v>0.03777775819179344</x:v>
      </x:c>
      <x:c r="AF292" s="18" t="n">
        <x:f>ROUND(I292-(F292-G292-H292),2)</x:f>
        <x:v>0</x:v>
      </x:c>
    </x:row>
    <x:row r="293" ht="24" customHeight="1">
      <x:c r="A293" s="14" t="n">
        <x:v>45627</x:v>
      </x:c>
      <x:c r="B293" s="2" t="str">
        <x:v>B2B</x:v>
      </x:c>
      <x:c r="C293" s="2" t="str">
        <x:v>Centro-Oeste</x:v>
      </x:c>
      <x:c r="D293" s="2" t="str">
        <x:v>M-0288</x:v>
      </x:c>
      <x:c r="E293" s="16" t="n">
        <x:v>52</x:v>
      </x:c>
      <x:c r="F293" s="17" t="n">
        <x:v>60023.04</x:v>
      </x:c>
      <x:c r="G293" s="17" t="n">
        <x:v>2267.54</x:v>
      </x:c>
      <x:c r="H293" s="17" t="n">
        <x:v>1290.5</x:v>
      </x:c>
      <x:c r="I293" s="17" t="n">
        <x:v>56465</x:v>
      </x:c>
      <x:c r="J293" s="17" t="n">
        <x:v>33593.09</x:v>
      </x:c>
      <x:c r="K293" s="17" t="n">
        <x:v>2371.53</x:v>
      </x:c>
      <x:c r="L293" s="17" t="n">
        <x:v>1355.16</x:v>
      </x:c>
      <x:c r="M293" s="17" t="n">
        <x:v>1016.37</x:v>
      </x:c>
      <x:c r="N293" s="16" t="n">
        <x:v>15</x:v>
      </x:c>
      <x:c r="O293" s="16" t="n">
        <x:v>7</x:v>
      </x:c>
      <x:c r="P293" s="16" t="n">
        <x:v>2</x:v>
      </x:c>
      <x:c r="Q293" s="16" t="n">
        <x:v>17</x:v>
      </x:c>
      <x:c r="R293" s="16" t="n">
        <x:v>10</x:v>
      </x:c>
      <x:c r="S293" s="16" t="n">
        <x:v>3</x:v>
      </x:c>
      <x:c r="T293" s="15" t="n">
        <x:f>YEAR(A293)</x:f>
        <x:v>2024</x:v>
      </x:c>
      <x:c r="U293" s="15" t="n">
        <x:f>ROUNDUP(MONTH(A293)/3,0)</x:f>
        <x:v>4</x:v>
      </x:c>
      <x:c r="V293" s="18" t="n">
        <x:f>I293-J293</x:f>
        <x:v>22871.910000000003</x:v>
      </x:c>
      <x:c r="W293" s="19" t="n">
        <x:f>IF(I293=0,"",V293/I293)</x:f>
        <x:v>0.40506349065792974</x:v>
      </x:c>
      <x:c r="X293" s="18" t="n">
        <x:f>I293-J293-K293-L293-M293</x:f>
        <x:v>18128.850000000006</x:v>
      </x:c>
      <x:c r="Y293" s="19" t="n">
        <x:f>IF(I293=0,"",X293/I293)</x:f>
        <x:v>0.3210634906579298</x:v>
      </x:c>
      <x:c r="Z293" s="18" t="n">
        <x:f>IF(E293=0,"",F293/E293)</x:f>
        <x:v>1154.2892307692307</x:v>
      </x:c>
      <x:c r="AA293" s="18" t="n">
        <x:f>IF(N293=0,"",M293/N293)</x:f>
        <x:v>67.758</x:v>
      </x:c>
      <x:c r="AB293" s="19" t="n">
        <x:f>IF(E293=0,"",O293/E293)</x:f>
        <x:v>0.1346153846153846</x:v>
      </x:c>
      <x:c r="AC293" s="19" t="n">
        <x:f>IF(E293=0,"",P293/E293)</x:f>
        <x:v>0.038461538461538464</x:v>
      </x:c>
      <x:c r="AD293" s="20" t="n">
        <x:f>IF(Q293=0,"",100*(R293-S293)/Q293)</x:f>
        <x:v>41.1764705882353</x:v>
      </x:c>
      <x:c r="AE293" s="19" t="n">
        <x:f>IF(F293=0,"",G293/F293)</x:f>
        <x:v>0.03777782664790054</x:v>
      </x:c>
      <x:c r="AF293" s="18" t="n">
        <x:f>ROUND(I293-(F293-G293-H293),2)</x:f>
        <x:v>0</x:v>
      </x:c>
    </x:row>
    <x:row r="294" ht="24" customHeight="1">
      <x:c r="A294" s="14" t="n">
        <x:v>45658</x:v>
      </x:c>
      <x:c r="B294" s="2" t="str">
        <x:v>E-commerce</x:v>
      </x:c>
      <x:c r="C294" s="2" t="str">
        <x:v>Sudeste</x:v>
      </x:c>
      <x:c r="D294" s="2" t="str">
        <x:v>M-0289</x:v>
      </x:c>
      <x:c r="E294" s="16" t="n">
        <x:v>198</x:v>
      </x:c>
      <x:c r="F294" s="17" t="n">
        <x:v>230041.91</x:v>
      </x:c>
      <x:c r="G294" s="17" t="n">
        <x:v>8818.27</x:v>
      </x:c>
      <x:c r="H294" s="17" t="n">
        <x:v>5060.92</x:v>
      </x:c>
      <x:c r="I294" s="17" t="n">
        <x:v>216162.72</x:v>
      </x:c>
      <x:c r="J294" s="17" t="n">
        <x:v>132300.45</x:v>
      </x:c>
      <x:c r="K294" s="17" t="n">
        <x:v>13834.41</x:v>
      </x:c>
      <x:c r="L294" s="17" t="n">
        <x:v>5187.91</x:v>
      </x:c>
      <x:c r="M294" s="17" t="n">
        <x:v>16212.2</x:v>
      </x:c>
      <x:c r="N294" s="16" t="n">
        <x:v>103</x:v>
      </x:c>
      <x:c r="O294" s="16" t="n">
        <x:v>27</x:v>
      </x:c>
      <x:c r="P294" s="16" t="n">
        <x:v>6</x:v>
      </x:c>
      <x:c r="Q294" s="16" t="n">
        <x:v>63</x:v>
      </x:c>
      <x:c r="R294" s="16" t="n">
        <x:v>38</x:v>
      </x:c>
      <x:c r="S294" s="16" t="n">
        <x:v>12</x:v>
      </x:c>
      <x:c r="T294" s="15" t="n">
        <x:f>YEAR(A294)</x:f>
        <x:v>2025</x:v>
      </x:c>
      <x:c r="U294" s="15" t="n">
        <x:f>ROUNDUP(MONTH(A294)/3,0)</x:f>
        <x:v>1</x:v>
      </x:c>
      <x:c r="V294" s="18" t="n">
        <x:f>I294-J294</x:f>
        <x:v>83862.26999999999</x:v>
      </x:c>
      <x:c r="W294" s="19" t="n">
        <x:f>IF(I294=0,"",V294/I294)</x:f>
        <x:v>0.3879589875627027</x:v>
      </x:c>
      <x:c r="X294" s="18" t="n">
        <x:f>I294-J294-K294-L294-M294</x:f>
        <x:v>48627.749999999985</x:v>
      </x:c>
      <x:c r="Y294" s="19" t="n">
        <x:f>IF(I294=0,"",X294/I294)</x:f>
        <x:v>0.22495900310654857</x:v>
      </x:c>
      <x:c r="Z294" s="18" t="n">
        <x:f>IF(E294=0,"",F294/E294)</x:f>
        <x:v>1161.8278282828282</x:v>
      </x:c>
      <x:c r="AA294" s="18" t="n">
        <x:f>IF(N294=0,"",M294/N294)</x:f>
        <x:v>157.4</x:v>
      </x:c>
      <x:c r="AB294" s="19" t="n">
        <x:f>IF(E294=0,"",O294/E294)</x:f>
        <x:v>0.13636363636363635</x:v>
      </x:c>
      <x:c r="AC294" s="19" t="n">
        <x:f>IF(E294=0,"",P294/E294)</x:f>
        <x:v>0.030303030303030304</x:v>
      </x:c>
      <x:c r="AD294" s="20" t="n">
        <x:f>IF(Q294=0,"",100*(R294-S294)/Q294)</x:f>
        <x:v>41.26984126984127</x:v>
      </x:c>
      <x:c r="AE294" s="19" t="n">
        <x:f>IF(F294=0,"",G294/F294)</x:f>
        <x:v>0.038333319350374026</x:v>
      </x:c>
      <x:c r="AF294" s="18" t="n">
        <x:f>ROUND(I294-(F294-G294-H294),2)</x:f>
        <x:v>0</x:v>
      </x:c>
    </x:row>
    <x:row r="295" ht="24" customHeight="1">
      <x:c r="A295" s="14" t="n">
        <x:v>45658</x:v>
      </x:c>
      <x:c r="B295" s="2" t="str">
        <x:v>E-commerce</x:v>
      </x:c>
      <x:c r="C295" s="2" t="str">
        <x:v>Nordeste</x:v>
      </x:c>
      <x:c r="D295" s="2" t="str">
        <x:v>M-0290</x:v>
      </x:c>
      <x:c r="E295" s="16" t="n">
        <x:v>128</x:v>
      </x:c>
      <x:c r="F295" s="17" t="n">
        <x:v>148726.57</x:v>
      </x:c>
      <x:c r="G295" s="17" t="n">
        <x:v>5701.19</x:v>
      </x:c>
      <x:c r="H295" s="17" t="n">
        <x:v>3271.98</x:v>
      </x:c>
      <x:c r="I295" s="17" t="n">
        <x:v>139753.4</x:v>
      </x:c>
      <x:c r="J295" s="17" t="n">
        <x:v>80265.99</x:v>
      </x:c>
      <x:c r="K295" s="17" t="n">
        <x:v>8944.22</x:v>
      </x:c>
      <x:c r="L295" s="17" t="n">
        <x:v>3354.08</x:v>
      </x:c>
      <x:c r="M295" s="17" t="n">
        <x:v>10481.5</x:v>
      </x:c>
      <x:c r="N295" s="16" t="n">
        <x:v>67</x:v>
      </x:c>
      <x:c r="O295" s="16" t="n">
        <x:v>17</x:v>
      </x:c>
      <x:c r="P295" s="16" t="n">
        <x:v>4</x:v>
      </x:c>
      <x:c r="Q295" s="16" t="n">
        <x:v>41</x:v>
      </x:c>
      <x:c r="R295" s="16" t="n">
        <x:v>24</x:v>
      </x:c>
      <x:c r="S295" s="16" t="n">
        <x:v>8</x:v>
      </x:c>
      <x:c r="T295" s="15" t="n">
        <x:f>YEAR(A295)</x:f>
        <x:v>2025</x:v>
      </x:c>
      <x:c r="U295" s="15" t="n">
        <x:f>ROUNDUP(MONTH(A295)/3,0)</x:f>
        <x:v>1</x:v>
      </x:c>
      <x:c r="V295" s="18" t="n">
        <x:f>I295-J295</x:f>
        <x:v>59487.40999999999</x:v>
      </x:c>
      <x:c r="W295" s="19" t="n">
        <x:f>IF(I295=0,"",V295/I295)</x:f>
        <x:v>0.425659840833926</x:v>
      </x:c>
      <x:c r="X295" s="18" t="n">
        <x:f>I295-J295-K295-L295-M295</x:f>
        <x:v>36707.609999999986</x:v>
      </x:c>
      <x:c r="Y295" s="19" t="n">
        <x:f>IF(I295=0,"",X295/I295)</x:f>
        <x:v>0.26265987088686205</x:v>
      </x:c>
      <x:c r="Z295" s="18" t="n">
        <x:f>IF(E295=0,"",F295/E295)</x:f>
        <x:v>1161.926328125</x:v>
      </x:c>
      <x:c r="AA295" s="18" t="n">
        <x:f>IF(N295=0,"",M295/N295)</x:f>
        <x:v>156.4402985074627</x:v>
      </x:c>
      <x:c r="AB295" s="19" t="n">
        <x:f>IF(E295=0,"",O295/E295)</x:f>
        <x:v>0.1328125</x:v>
      </x:c>
      <x:c r="AC295" s="19" t="n">
        <x:f>IF(E295=0,"",P295/E295)</x:f>
        <x:v>0.03125</x:v>
      </x:c>
      <x:c r="AD295" s="20" t="n">
        <x:f>IF(Q295=0,"",100*(R295-S295)/Q295)</x:f>
        <x:v>39.02439024390244</x:v>
      </x:c>
      <x:c r="AE295" s="19" t="n">
        <x:f>IF(F295=0,"",G295/F295)</x:f>
        <x:v>0.03833336571938692</x:v>
      </x:c>
      <x:c r="AF295" s="18" t="n">
        <x:f>ROUND(I295-(F295-G295-H295),2)</x:f>
        <x:v>0</x:v>
      </x:c>
    </x:row>
    <x:row r="296" ht="24" customHeight="1">
      <x:c r="A296" s="14" t="n">
        <x:v>45658</x:v>
      </x:c>
      <x:c r="B296" s="2" t="str">
        <x:v>E-commerce</x:v>
      </x:c>
      <x:c r="C296" s="2" t="str">
        <x:v>Sul</x:v>
      </x:c>
      <x:c r="D296" s="2" t="str">
        <x:v>M-0291</x:v>
      </x:c>
      <x:c r="E296" s="16" t="n">
        <x:v>101</x:v>
      </x:c>
      <x:c r="F296" s="17" t="n">
        <x:v>116912.89</x:v>
      </x:c>
      <x:c r="G296" s="17" t="n">
        <x:v>4481.66</x:v>
      </x:c>
      <x:c r="H296" s="17" t="n">
        <x:v>2572.08</x:v>
      </x:c>
      <x:c r="I296" s="17" t="n">
        <x:v>109859.15</x:v>
      </x:c>
      <x:c r="J296" s="17" t="n">
        <x:v>66106.06</x:v>
      </x:c>
      <x:c r="K296" s="17" t="n">
        <x:v>7030.99</x:v>
      </x:c>
      <x:c r="L296" s="17" t="n">
        <x:v>2636.62</x:v>
      </x:c>
      <x:c r="M296" s="17" t="n">
        <x:v>8239.44</x:v>
      </x:c>
      <x:c r="N296" s="16" t="n">
        <x:v>53</x:v>
      </x:c>
      <x:c r="O296" s="16" t="n">
        <x:v>14</x:v>
      </x:c>
      <x:c r="P296" s="16" t="n">
        <x:v>3</x:v>
      </x:c>
      <x:c r="Q296" s="16" t="n">
        <x:v>32</x:v>
      </x:c>
      <x:c r="R296" s="16" t="n">
        <x:v>19</x:v>
      </x:c>
      <x:c r="S296" s="16" t="n">
        <x:v>6</x:v>
      </x:c>
      <x:c r="T296" s="15" t="n">
        <x:f>YEAR(A296)</x:f>
        <x:v>2025</x:v>
      </x:c>
      <x:c r="U296" s="15" t="n">
        <x:f>ROUNDUP(MONTH(A296)/3,0)</x:f>
        <x:v>1</x:v>
      </x:c>
      <x:c r="V296" s="18" t="n">
        <x:f>I296-J296</x:f>
        <x:v>43753.09</x:v>
      </x:c>
      <x:c r="W296" s="19" t="n">
        <x:f>IF(I296=0,"",V296/I296)</x:f>
        <x:v>0.3982653242811363</x:v>
      </x:c>
      <x:c r="X296" s="18" t="n">
        <x:f>I296-J296-K296-L296-M296</x:f>
        <x:v>25846.039999999994</x:v>
      </x:c>
      <x:c r="Y296" s="19" t="n">
        <x:f>IF(I296=0,"",X296/I296)</x:f>
        <x:v>0.23526524645420974</x:v>
      </x:c>
      <x:c r="Z296" s="18" t="n">
        <x:f>IF(E296=0,"",F296/E296)</x:f>
        <x:v>1157.5533663366336</x:v>
      </x:c>
      <x:c r="AA296" s="18" t="n">
        <x:f>IF(N296=0,"",M296/N296)</x:f>
        <x:v>155.4611320754717</x:v>
      </x:c>
      <x:c r="AB296" s="19" t="n">
        <x:f>IF(E296=0,"",O296/E296)</x:f>
        <x:v>0.13861386138613863</x:v>
      </x:c>
      <x:c r="AC296" s="19" t="n">
        <x:f>IF(E296=0,"",P296/E296)</x:f>
        <x:v>0.0297029702970297</x:v>
      </x:c>
      <x:c r="AD296" s="20" t="n">
        <x:f>IF(Q296=0,"",100*(R296-S296)/Q296)</x:f>
        <x:v>40.625</x:v>
      </x:c>
      <x:c r="AE296" s="19" t="n">
        <x:f>IF(F296=0,"",G296/F296)</x:f>
        <x:v>0.038333326633188176</x:v>
      </x:c>
      <x:c r="AF296" s="18" t="n">
        <x:f>ROUND(I296-(F296-G296-H296),2)</x:f>
        <x:v>0</x:v>
      </x:c>
    </x:row>
    <x:row r="297" ht="24" customHeight="1">
      <x:c r="A297" s="14" t="n">
        <x:v>45658</x:v>
      </x:c>
      <x:c r="B297" s="2" t="str">
        <x:v>E-commerce</x:v>
      </x:c>
      <x:c r="C297" s="2" t="str">
        <x:v>Centro-Oeste</x:v>
      </x:c>
      <x:c r="D297" s="2" t="str">
        <x:v>M-0292</x:v>
      </x:c>
      <x:c r="E297" s="16" t="n">
        <x:v>75</x:v>
      </x:c>
      <x:c r="F297" s="17" t="n">
        <x:v>87082.62</x:v>
      </x:c>
      <x:c r="G297" s="17" t="n">
        <x:v>3338.17</x:v>
      </x:c>
      <x:c r="H297" s="17" t="n">
        <x:v>1915.82</x:v>
      </x:c>
      <x:c r="I297" s="17" t="n">
        <x:v>81828.63</x:v>
      </x:c>
      <x:c r="J297" s="17" t="n">
        <x:v>47430.46</x:v>
      </x:c>
      <x:c r="K297" s="17" t="n">
        <x:v>5237.03</x:v>
      </x:c>
      <x:c r="L297" s="17" t="n">
        <x:v>1963.89</x:v>
      </x:c>
      <x:c r="M297" s="17" t="n">
        <x:v>6137.15</x:v>
      </x:c>
      <x:c r="N297" s="16" t="n">
        <x:v>39</x:v>
      </x:c>
      <x:c r="O297" s="16" t="n">
        <x:v>10</x:v>
      </x:c>
      <x:c r="P297" s="16" t="n">
        <x:v>2</x:v>
      </x:c>
      <x:c r="Q297" s="16" t="n">
        <x:v>24</x:v>
      </x:c>
      <x:c r="R297" s="16" t="n">
        <x:v>14</x:v>
      </x:c>
      <x:c r="S297" s="16" t="n">
        <x:v>5</x:v>
      </x:c>
      <x:c r="T297" s="15" t="n">
        <x:f>YEAR(A297)</x:f>
        <x:v>2025</x:v>
      </x:c>
      <x:c r="U297" s="15" t="n">
        <x:f>ROUNDUP(MONTH(A297)/3,0)</x:f>
        <x:v>1</x:v>
      </x:c>
      <x:c r="V297" s="18" t="n">
        <x:f>I297-J297</x:f>
        <x:v>34398.170000000006</x:v>
      </x:c>
      <x:c r="W297" s="19" t="n">
        <x:f>IF(I297=0,"",V297/I297)</x:f>
        <x:v>0.42036839673351495</x:v>
      </x:c>
      <x:c r="X297" s="18" t="n">
        <x:f>I297-J297-K297-L297-M297</x:f>
        <x:v>21060.100000000006</x:v>
      </x:c>
      <x:c r="Y297" s="19" t="n">
        <x:f>IF(I297=0,"",X297/I297)</x:f>
        <x:v>0.25736835628312493</x:v>
      </x:c>
      <x:c r="Z297" s="18" t="n">
        <x:f>IF(E297=0,"",F297/E297)</x:f>
        <x:v>1161.1016</x:v>
      </x:c>
      <x:c r="AA297" s="18" t="n">
        <x:f>IF(N297=0,"",M297/N297)</x:f>
        <x:v>157.3628205128205</x:v>
      </x:c>
      <x:c r="AB297" s="19" t="n">
        <x:f>IF(E297=0,"",O297/E297)</x:f>
        <x:v>0.13333333333333333</x:v>
      </x:c>
      <x:c r="AC297" s="19" t="n">
        <x:f>IF(E297=0,"",P297/E297)</x:f>
        <x:v>0.02666666666666667</x:v>
      </x:c>
      <x:c r="AD297" s="20" t="n">
        <x:f>IF(Q297=0,"",100*(R297-S297)/Q297)</x:f>
        <x:v>37.5</x:v>
      </x:c>
      <x:c r="AE297" s="19" t="n">
        <x:f>IF(F297=0,"",G297/F297)</x:f>
        <x:v>0.03833336663504153</x:v>
      </x:c>
      <x:c r="AF297" s="18" t="n">
        <x:f>ROUND(I297-(F297-G297-H297),2)</x:f>
        <x:v>0</x:v>
      </x:c>
    </x:row>
    <x:row r="298" ht="24" customHeight="1">
      <x:c r="A298" s="14" t="n">
        <x:v>45658</x:v>
      </x:c>
      <x:c r="B298" s="2" t="str">
        <x:v>Lojas</x:v>
      </x:c>
      <x:c r="C298" s="2" t="str">
        <x:v>Sudeste</x:v>
      </x:c>
      <x:c r="D298" s="2" t="str">
        <x:v>M-0293</x:v>
      </x:c>
      <x:c r="E298" s="16" t="n">
        <x:v>145</x:v>
      </x:c>
      <x:c r="F298" s="17" t="n">
        <x:v>168778.48</x:v>
      </x:c>
      <x:c r="G298" s="17" t="n">
        <x:v>6469.84</x:v>
      </x:c>
      <x:c r="H298" s="17" t="n">
        <x:v>3713.13</x:v>
      </x:c>
      <x:c r="I298" s="17" t="n">
        <x:v>158595.51</x:v>
      </x:c>
      <x:c r="J298" s="17" t="n">
        <x:v>93087.31</x:v>
      </x:c>
      <x:c r="K298" s="17" t="n">
        <x:v>6819.61</x:v>
      </x:c>
      <x:c r="L298" s="17" t="n">
        <x:v>3806.29</x:v>
      </x:c>
      <x:c r="M298" s="17" t="n">
        <x:v>2854.72</x:v>
      </x:c>
      <x:c r="N298" s="16" t="n">
        <x:v>41</x:v>
      </x:c>
      <x:c r="O298" s="16" t="n">
        <x:v>20</x:v>
      </x:c>
      <x:c r="P298" s="16" t="n">
        <x:v>4</x:v>
      </x:c>
      <x:c r="Q298" s="16" t="n">
        <x:v>46</x:v>
      </x:c>
      <x:c r="R298" s="16" t="n">
        <x:v>27</x:v>
      </x:c>
      <x:c r="S298" s="16" t="n">
        <x:v>9</x:v>
      </x:c>
      <x:c r="T298" s="15" t="n">
        <x:f>YEAR(A298)</x:f>
        <x:v>2025</x:v>
      </x:c>
      <x:c r="U298" s="15" t="n">
        <x:f>ROUNDUP(MONTH(A298)/3,0)</x:f>
        <x:v>1</x:v>
      </x:c>
      <x:c r="V298" s="18" t="n">
        <x:f>I298-J298</x:f>
        <x:v>65508.20000000001</x:v>
      </x:c>
      <x:c r="W298" s="19" t="n">
        <x:f>IF(I298=0,"",V298/I298)</x:f>
        <x:v>0.4130520466815234</x:v>
      </x:c>
      <x:c r="X298" s="18" t="n">
        <x:f>I298-J298-K298-L298-M298</x:f>
        <x:v>52027.58000000001</x:v>
      </x:c>
      <x:c r="Y298" s="19" t="n">
        <x:f>IF(I298=0,"",X298/I298)</x:f>
        <x:v>0.3280520362776979</x:v>
      </x:c>
      <x:c r="Z298" s="18" t="n">
        <x:f>IF(E298=0,"",F298/E298)</x:f>
        <x:v>1163.9895172413794</x:v>
      </x:c>
      <x:c r="AA298" s="18" t="n">
        <x:f>IF(N298=0,"",M298/N298)</x:f>
        <x:v>69.62731707317073</x:v>
      </x:c>
      <x:c r="AB298" s="19" t="n">
        <x:f>IF(E298=0,"",O298/E298)</x:f>
        <x:v>0.13793103448275862</x:v>
      </x:c>
      <x:c r="AC298" s="19" t="n">
        <x:f>IF(E298=0,"",P298/E298)</x:f>
        <x:v>0.027586206896551724</x:v>
      </x:c>
      <x:c r="AD298" s="20" t="n">
        <x:f>IF(Q298=0,"",100*(R298-S298)/Q298)</x:f>
        <x:v>39.130434782608695</x:v>
      </x:c>
      <x:c r="AE298" s="19" t="n">
        <x:f>IF(F298=0,"",G298/F298)</x:f>
        <x:v>0.03833332306346164</x:v>
      </x:c>
      <x:c r="AF298" s="18" t="n">
        <x:f>ROUND(I298-(F298-G298-H298),2)</x:f>
        <x:v>0</x:v>
      </x:c>
    </x:row>
    <x:row r="299" ht="24" customHeight="1">
      <x:c r="A299" s="14" t="n">
        <x:v>45658</x:v>
      </x:c>
      <x:c r="B299" s="2" t="str">
        <x:v>Lojas</x:v>
      </x:c>
      <x:c r="C299" s="2" t="str">
        <x:v>Nordeste</x:v>
      </x:c>
      <x:c r="D299" s="2" t="str">
        <x:v>M-0294</x:v>
      </x:c>
      <x:c r="E299" s="16" t="n">
        <x:v>107</x:v>
      </x:c>
      <x:c r="F299" s="17" t="n">
        <x:v>123802.93</x:v>
      </x:c>
      <x:c r="G299" s="17" t="n">
        <x:v>4745.78</x:v>
      </x:c>
      <x:c r="H299" s="17" t="n">
        <x:v>2723.66</x:v>
      </x:c>
      <x:c r="I299" s="17" t="n">
        <x:v>116333.49</x:v>
      </x:c>
      <x:c r="J299" s="17" t="n">
        <x:v>67001.47</x:v>
      </x:c>
      <x:c r="K299" s="17" t="n">
        <x:v>5002.34</x:v>
      </x:c>
      <x:c r="L299" s="17" t="n">
        <x:v>2792</x:v>
      </x:c>
      <x:c r="M299" s="17" t="n">
        <x:v>2094</x:v>
      </x:c>
      <x:c r="N299" s="16" t="n">
        <x:v>30</x:v>
      </x:c>
      <x:c r="O299" s="16" t="n">
        <x:v>15</x:v>
      </x:c>
      <x:c r="P299" s="16" t="n">
        <x:v>3</x:v>
      </x:c>
      <x:c r="Q299" s="16" t="n">
        <x:v>34</x:v>
      </x:c>
      <x:c r="R299" s="16" t="n">
        <x:v>20</x:v>
      </x:c>
      <x:c r="S299" s="16" t="n">
        <x:v>7</x:v>
      </x:c>
      <x:c r="T299" s="15" t="n">
        <x:f>YEAR(A299)</x:f>
        <x:v>2025</x:v>
      </x:c>
      <x:c r="U299" s="15" t="n">
        <x:f>ROUNDUP(MONTH(A299)/3,0)</x:f>
        <x:v>1</x:v>
      </x:c>
      <x:c r="V299" s="18" t="n">
        <x:f>I299-J299</x:f>
        <x:v>49332.020000000004</x:v>
      </x:c>
      <x:c r="W299" s="19" t="n">
        <x:f>IF(I299=0,"",V299/I299)</x:f>
        <x:v>0.4240569074305258</x:v>
      </x:c>
      <x:c r="X299" s="18" t="n">
        <x:f>I299-J299-K299-L299-M299</x:f>
        <x:v>39443.68000000001</x:v>
      </x:c>
      <x:c r="Y299" s="19" t="n">
        <x:f>IF(I299=0,"",X299/I299)</x:f>
        <x:v>0.33905696459377266</x:v>
      </x:c>
      <x:c r="Z299" s="18" t="n">
        <x:f>IF(E299=0,"",F299/E299)</x:f>
        <x:v>1157.0367289719625</x:v>
      </x:c>
      <x:c r="AA299" s="18" t="n">
        <x:f>IF(N299=0,"",M299/N299)</x:f>
        <x:v>69.8</x:v>
      </x:c>
      <x:c r="AB299" s="19" t="n">
        <x:f>IF(E299=0,"",O299/E299)</x:f>
        <x:v>0.14018691588785046</x:v>
      </x:c>
      <x:c r="AC299" s="19" t="n">
        <x:f>IF(E299=0,"",P299/E299)</x:f>
        <x:v>0.028037383177570093</x:v>
      </x:c>
      <x:c r="AD299" s="20" t="n">
        <x:f>IF(Q299=0,"",100*(R299-S299)/Q299)</x:f>
        <x:v>38.23529411764706</x:v>
      </x:c>
      <x:c r="AE299" s="19" t="n">
        <x:f>IF(F299=0,"",G299/F299)</x:f>
        <x:v>0.038333341545309145</x:v>
      </x:c>
      <x:c r="AF299" s="18" t="n">
        <x:f>ROUND(I299-(F299-G299-H299),2)</x:f>
        <x:v>0</x:v>
      </x:c>
    </x:row>
    <x:row r="300" ht="24" customHeight="1">
      <x:c r="A300" s="14" t="n">
        <x:v>45658</x:v>
      </x:c>
      <x:c r="B300" s="2" t="str">
        <x:v>Lojas</x:v>
      </x:c>
      <x:c r="C300" s="2" t="str">
        <x:v>Sul</x:v>
      </x:c>
      <x:c r="D300" s="2" t="str">
        <x:v>M-0295</x:v>
      </x:c>
      <x:c r="E300" s="16" t="n">
        <x:v>88</x:v>
      </x:c>
      <x:c r="F300" s="17" t="n">
        <x:v>102629.47</x:v>
      </x:c>
      <x:c r="G300" s="17" t="n">
        <x:v>3934.13</x:v>
      </x:c>
      <x:c r="H300" s="17" t="n">
        <x:v>2257.85</x:v>
      </x:c>
      <x:c r="I300" s="17" t="n">
        <x:v>96437.49</x:v>
      </x:c>
      <x:c r="J300" s="17" t="n">
        <x:v>56617.2</x:v>
      </x:c>
      <x:c r="K300" s="17" t="n">
        <x:v>4146.81</x:v>
      </x:c>
      <x:c r="L300" s="17" t="n">
        <x:v>2314.5</x:v>
      </x:c>
      <x:c r="M300" s="17" t="n">
        <x:v>1735.87</x:v>
      </x:c>
      <x:c r="N300" s="16" t="n">
        <x:v>25</x:v>
      </x:c>
      <x:c r="O300" s="16" t="n">
        <x:v>12</x:v>
      </x:c>
      <x:c r="P300" s="16" t="n">
        <x:v>3</x:v>
      </x:c>
      <x:c r="Q300" s="16" t="n">
        <x:v>28</x:v>
      </x:c>
      <x:c r="R300" s="16" t="n">
        <x:v>17</x:v>
      </x:c>
      <x:c r="S300" s="16" t="n">
        <x:v>5</x:v>
      </x:c>
      <x:c r="T300" s="15" t="n">
        <x:f>YEAR(A300)</x:f>
        <x:v>2025</x:v>
      </x:c>
      <x:c r="U300" s="15" t="n">
        <x:f>ROUNDUP(MONTH(A300)/3,0)</x:f>
        <x:v>1</x:v>
      </x:c>
      <x:c r="V300" s="18" t="n">
        <x:f>I300-J300</x:f>
        <x:v>39820.29000000001</x:v>
      </x:c>
      <x:c r="W300" s="19" t="n">
        <x:f>IF(I300=0,"",V300/I300)</x:f>
        <x:v>0.41291296569415076</x:v>
      </x:c>
      <x:c r="X300" s="18" t="n">
        <x:f>I300-J300-K300-L300-M300</x:f>
        <x:v>31623.11000000001</x:v>
      </x:c>
      <x:c r="Y300" s="19" t="n">
        <x:f>IF(I300=0,"",X300/I300)</x:f>
        <x:v>0.327913034650736</x:v>
      </x:c>
      <x:c r="Z300" s="18" t="n">
        <x:f>IF(E300=0,"",F300/E300)</x:f>
        <x:v>1166.2439772727273</x:v>
      </x:c>
      <x:c r="AA300" s="18" t="n">
        <x:f>IF(N300=0,"",M300/N300)</x:f>
        <x:v>69.4348</x:v>
      </x:c>
      <x:c r="AB300" s="19" t="n">
        <x:f>IF(E300=0,"",O300/E300)</x:f>
        <x:v>0.13636363636363635</x:v>
      </x:c>
      <x:c r="AC300" s="19" t="n">
        <x:f>IF(E300=0,"",P300/E300)</x:f>
        <x:v>0.03409090909090909</x:v>
      </x:c>
      <x:c r="AD300" s="20" t="n">
        <x:f>IF(Q300=0,"",100*(R300-S300)/Q300)</x:f>
        <x:v>42.857142857142854</x:v>
      </x:c>
      <x:c r="AE300" s="19" t="n">
        <x:f>IF(F300=0,"",G300/F300)</x:f>
        <x:v>0.038333336418866826</x:v>
      </x:c>
      <x:c r="AF300" s="18" t="n">
        <x:f>ROUND(I300-(F300-G300-H300),2)</x:f>
        <x:v>0</x:v>
      </x:c>
    </x:row>
    <x:row r="301" ht="24" customHeight="1">
      <x:c r="A301" s="14" t="n">
        <x:v>45658</x:v>
      </x:c>
      <x:c r="B301" s="2" t="str">
        <x:v>Lojas</x:v>
      </x:c>
      <x:c r="C301" s="2" t="str">
        <x:v>Centro-Oeste</x:v>
      </x:c>
      <x:c r="D301" s="2" t="str">
        <x:v>M-0296</x:v>
      </x:c>
      <x:c r="E301" s="16" t="n">
        <x:v>78</x:v>
      </x:c>
      <x:c r="F301" s="17" t="n">
        <x:v>90397.31</x:v>
      </x:c>
      <x:c r="G301" s="17" t="n">
        <x:v>3465.23</x:v>
      </x:c>
      <x:c r="H301" s="17" t="n">
        <x:v>1988.74</x:v>
      </x:c>
      <x:c r="I301" s="17" t="n">
        <x:v>84943.34</x:v>
      </x:c>
      <x:c r="J301" s="17" t="n">
        <x:v>51009.5</x:v>
      </x:c>
      <x:c r="K301" s="17" t="n">
        <x:v>3652.56</x:v>
      </x:c>
      <x:c r="L301" s="17" t="n">
        <x:v>2038.64</x:v>
      </x:c>
      <x:c r="M301" s="17" t="n">
        <x:v>1528.98</x:v>
      </x:c>
      <x:c r="N301" s="16" t="n">
        <x:v>22</x:v>
      </x:c>
      <x:c r="O301" s="16" t="n">
        <x:v>11</x:v>
      </x:c>
      <x:c r="P301" s="16" t="n">
        <x:v>2</x:v>
      </x:c>
      <x:c r="Q301" s="16" t="n">
        <x:v>25</x:v>
      </x:c>
      <x:c r="R301" s="16" t="n">
        <x:v>15</x:v>
      </x:c>
      <x:c r="S301" s="16" t="n">
        <x:v>5</x:v>
      </x:c>
      <x:c r="T301" s="15" t="n">
        <x:f>YEAR(A301)</x:f>
        <x:v>2025</x:v>
      </x:c>
      <x:c r="U301" s="15" t="n">
        <x:f>ROUNDUP(MONTH(A301)/3,0)</x:f>
        <x:v>1</x:v>
      </x:c>
      <x:c r="V301" s="18" t="n">
        <x:f>I301-J301</x:f>
        <x:v>33933.84</x:v>
      </x:c>
      <x:c r="W301" s="19" t="n">
        <x:f>IF(I301=0,"",V301/I301)</x:f>
        <x:v>0.3994879410204496</x:v>
      </x:c>
      <x:c r="X301" s="18" t="n">
        <x:f>I301-J301-K301-L301-M301</x:f>
        <x:v>26713.659999999996</x:v>
      </x:c>
      <x:c r="Y301" s="19" t="n">
        <x:f>IF(I301=0,"",X301/I301)</x:f>
        <x:v>0.31448798693340757</x:v>
      </x:c>
      <x:c r="Z301" s="18" t="n">
        <x:f>IF(E301=0,"",F301/E301)</x:f>
        <x:v>1158.9398717948718</x:v>
      </x:c>
      <x:c r="AA301" s="18" t="n">
        <x:f>IF(N301=0,"",M301/N301)</x:f>
        <x:v>69.49909090909091</x:v>
      </x:c>
      <x:c r="AB301" s="19" t="n">
        <x:f>IF(E301=0,"",O301/E301)</x:f>
        <x:v>0.14102564102564102</x:v>
      </x:c>
      <x:c r="AC301" s="19" t="n">
        <x:f>IF(E301=0,"",P301/E301)</x:f>
        <x:v>0.02564102564102564</x:v>
      </x:c>
      <x:c r="AD301" s="20" t="n">
        <x:f>IF(Q301=0,"",100*(R301-S301)/Q301)</x:f>
        <x:v>40</x:v>
      </x:c>
      <x:c r="AE301" s="19" t="n">
        <x:f>IF(F301=0,"",G301/F301)</x:f>
        <x:v>0.03833333093650685</x:v>
      </x:c>
      <x:c r="AF301" s="18" t="n">
        <x:f>ROUND(I301-(F301-G301-H301),2)</x:f>
        <x:v>0</x:v>
      </x:c>
    </x:row>
    <x:row r="302" ht="24" customHeight="1">
      <x:c r="A302" s="14" t="n">
        <x:v>45658</x:v>
      </x:c>
      <x:c r="B302" s="2" t="str">
        <x:v>B2B</x:v>
      </x:c>
      <x:c r="C302" s="2" t="str">
        <x:v>Sudeste</x:v>
      </x:c>
      <x:c r="D302" s="2" t="str">
        <x:v>M-0297</x:v>
      </x:c>
      <x:c r="E302" s="16" t="n">
        <x:v>104</x:v>
      </x:c>
      <x:c r="F302" s="17" t="n">
        <x:v>121103.29</x:v>
      </x:c>
      <x:c r="G302" s="17" t="n">
        <x:v>4642.29</x:v>
      </x:c>
      <x:c r="H302" s="17" t="n">
        <x:v>2664.27</x:v>
      </x:c>
      <x:c r="I302" s="17" t="n">
        <x:v>113796.73</x:v>
      </x:c>
      <x:c r="J302" s="17" t="n">
        <x:v>65186.78</x:v>
      </x:c>
      <x:c r="K302" s="17" t="n">
        <x:v>4893.26</x:v>
      </x:c>
      <x:c r="L302" s="17" t="n">
        <x:v>2731.12</x:v>
      </x:c>
      <x:c r="M302" s="17" t="n">
        <x:v>2048.34</x:v>
      </x:c>
      <x:c r="N302" s="16" t="n">
        <x:v>29</x:v>
      </x:c>
      <x:c r="O302" s="16" t="n">
        <x:v>14</x:v>
      </x:c>
      <x:c r="P302" s="16" t="n">
        <x:v>3</x:v>
      </x:c>
      <x:c r="Q302" s="16" t="n">
        <x:v>33</x:v>
      </x:c>
      <x:c r="R302" s="16" t="n">
        <x:v>20</x:v>
      </x:c>
      <x:c r="S302" s="16" t="n">
        <x:v>6</x:v>
      </x:c>
      <x:c r="T302" s="15" t="n">
        <x:f>YEAR(A302)</x:f>
        <x:v>2025</x:v>
      </x:c>
      <x:c r="U302" s="15" t="n">
        <x:f>ROUNDUP(MONTH(A302)/3,0)</x:f>
        <x:v>1</x:v>
      </x:c>
      <x:c r="V302" s="18" t="n">
        <x:f>I302-J302</x:f>
        <x:v>48609.95</x:v>
      </x:c>
      <x:c r="W302" s="19" t="n">
        <x:f>IF(I302=0,"",V302/I302)</x:f>
        <x:v>0.4271647348741919</x:v>
      </x:c>
      <x:c r="X302" s="18" t="n">
        <x:f>I302-J302-K302-L302-M302</x:f>
        <x:v>38937.229999999996</x:v>
      </x:c>
      <x:c r="Y302" s="19" t="n">
        <x:f>IF(I302=0,"",X302/I302)</x:f>
        <x:v>0.3421647528887693</x:v>
      </x:c>
      <x:c r="Z302" s="18" t="n">
        <x:f>IF(E302=0,"",F302/E302)</x:f>
        <x:v>1164.4547115384614</x:v>
      </x:c>
      <x:c r="AA302" s="18" t="n">
        <x:f>IF(N302=0,"",M302/N302)</x:f>
        <x:v>70.63241379310345</x:v>
      </x:c>
      <x:c r="AB302" s="19" t="n">
        <x:f>IF(E302=0,"",O302/E302)</x:f>
        <x:v>0.1346153846153846</x:v>
      </x:c>
      <x:c r="AC302" s="19" t="n">
        <x:f>IF(E302=0,"",P302/E302)</x:f>
        <x:v>0.028846153846153848</x:v>
      </x:c>
      <x:c r="AD302" s="20" t="n">
        <x:f>IF(Q302=0,"",100*(R302-S302)/Q302)</x:f>
        <x:v>42.42424242424242</x:v>
      </x:c>
      <x:c r="AE302" s="19" t="n">
        <x:f>IF(F302=0,"",G302/F302)</x:f>
        <x:v>0.038333310350197755</x:v>
      </x:c>
      <x:c r="AF302" s="18" t="n">
        <x:f>ROUND(I302-(F302-G302-H302),2)</x:f>
        <x:v>0</x:v>
      </x:c>
    </x:row>
    <x:row r="303" ht="24" customHeight="1">
      <x:c r="A303" s="14" t="n">
        <x:v>45658</x:v>
      </x:c>
      <x:c r="B303" s="2" t="str">
        <x:v>B2B</x:v>
      </x:c>
      <x:c r="C303" s="2" t="str">
        <x:v>Nordeste</x:v>
      </x:c>
      <x:c r="D303" s="2" t="str">
        <x:v>M-0298</x:v>
      </x:c>
      <x:c r="E303" s="16" t="n">
        <x:v>71</x:v>
      </x:c>
      <x:c r="F303" s="17" t="n">
        <x:v>82307.92</x:v>
      </x:c>
      <x:c r="G303" s="17" t="n">
        <x:v>3155.14</x:v>
      </x:c>
      <x:c r="H303" s="17" t="n">
        <x:v>1810.77</x:v>
      </x:c>
      <x:c r="I303" s="17" t="n">
        <x:v>77342.01</x:v>
      </x:c>
      <x:c r="J303" s="17" t="n">
        <x:v>44122.04</x:v>
      </x:c>
      <x:c r="K303" s="17" t="n">
        <x:v>3325.71</x:v>
      </x:c>
      <x:c r="L303" s="17" t="n">
        <x:v>1856.21</x:v>
      </x:c>
      <x:c r="M303" s="17" t="n">
        <x:v>1392.16</x:v>
      </x:c>
      <x:c r="N303" s="16" t="n">
        <x:v>20</x:v>
      </x:c>
      <x:c r="O303" s="16" t="n">
        <x:v>10</x:v>
      </x:c>
      <x:c r="P303" s="16" t="n">
        <x:v>2</x:v>
      </x:c>
      <x:c r="Q303" s="16" t="n">
        <x:v>23</x:v>
      </x:c>
      <x:c r="R303" s="16" t="n">
        <x:v>14</x:v>
      </x:c>
      <x:c r="S303" s="16" t="n">
        <x:v>5</x:v>
      </x:c>
      <x:c r="T303" s="15" t="n">
        <x:f>YEAR(A303)</x:f>
        <x:v>2025</x:v>
      </x:c>
      <x:c r="U303" s="15" t="n">
        <x:f>ROUNDUP(MONTH(A303)/3,0)</x:f>
        <x:v>1</x:v>
      </x:c>
      <x:c r="V303" s="18" t="n">
        <x:f>I303-J303</x:f>
        <x:v>33219.969999999994</x:v>
      </x:c>
      <x:c r="W303" s="19" t="n">
        <x:f>IF(I303=0,"",V303/I303)</x:f>
        <x:v>0.4295203861394344</x:v>
      </x:c>
      <x:c r="X303" s="18" t="n">
        <x:f>I303-J303-K303-L303-M303</x:f>
        <x:v>26645.889999999996</x:v>
      </x:c>
      <x:c r="Y303" s="19" t="n">
        <x:f>IF(I303=0,"",X303/I303)</x:f>
        <x:v>0.34452026783374257</x:v>
      </x:c>
      <x:c r="Z303" s="18" t="n">
        <x:f>IF(E303=0,"",F303/E303)</x:f>
        <x:v>1159.2664788732395</x:v>
      </x:c>
      <x:c r="AA303" s="18" t="n">
        <x:f>IF(N303=0,"",M303/N303)</x:f>
        <x:v>69.608</x:v>
      </x:c>
      <x:c r="AB303" s="19" t="n">
        <x:f>IF(E303=0,"",O303/E303)</x:f>
        <x:v>0.14084507042253522</x:v>
      </x:c>
      <x:c r="AC303" s="19" t="n">
        <x:f>IF(E303=0,"",P303/E303)</x:f>
        <x:v>0.028169014084507043</x:v>
      </x:c>
      <x:c r="AD303" s="20" t="n">
        <x:f>IF(Q303=0,"",100*(R303-S303)/Q303)</x:f>
        <x:v>39.130434782608695</x:v>
      </x:c>
      <x:c r="AE303" s="19" t="n">
        <x:f>IF(F303=0,"",G303/F303)</x:f>
        <x:v>0.03833337059179724</x:v>
      </x:c>
      <x:c r="AF303" s="18" t="n">
        <x:f>ROUND(I303-(F303-G303-H303),2)</x:f>
        <x:v>0</x:v>
      </x:c>
    </x:row>
    <x:row r="304" ht="24" customHeight="1">
      <x:c r="A304" s="14" t="n">
        <x:v>45658</x:v>
      </x:c>
      <x:c r="B304" s="2" t="str">
        <x:v>B2B</x:v>
      </x:c>
      <x:c r="C304" s="2" t="str">
        <x:v>Sul</x:v>
      </x:c>
      <x:c r="D304" s="2" t="str">
        <x:v>M-0299</x:v>
      </x:c>
      <x:c r="E304" s="16" t="n">
        <x:v>56</x:v>
      </x:c>
      <x:c r="F304" s="17" t="n">
        <x:v>64997.42</x:v>
      </x:c>
      <x:c r="G304" s="17" t="n">
        <x:v>2491.57</x:v>
      </x:c>
      <x:c r="H304" s="17" t="n">
        <x:v>1429.94</x:v>
      </x:c>
      <x:c r="I304" s="17" t="n">
        <x:v>61075.91</x:v>
      </x:c>
      <x:c r="J304" s="17" t="n">
        <x:v>36891.49</x:v>
      </x:c>
      <x:c r="K304" s="17" t="n">
        <x:v>2626.26</x:v>
      </x:c>
      <x:c r="L304" s="17" t="n">
        <x:v>1465.82</x:v>
      </x:c>
      <x:c r="M304" s="17" t="n">
        <x:v>1099.37</x:v>
      </x:c>
      <x:c r="N304" s="16" t="n">
        <x:v>16</x:v>
      </x:c>
      <x:c r="O304" s="16" t="n">
        <x:v>8</x:v>
      </x:c>
      <x:c r="P304" s="16" t="n">
        <x:v>2</x:v>
      </x:c>
      <x:c r="Q304" s="16" t="n">
        <x:v>18</x:v>
      </x:c>
      <x:c r="R304" s="16" t="n">
        <x:v>11</x:v>
      </x:c>
      <x:c r="S304" s="16" t="n">
        <x:v>4</x:v>
      </x:c>
      <x:c r="T304" s="15" t="n">
        <x:f>YEAR(A304)</x:f>
        <x:v>2025</x:v>
      </x:c>
      <x:c r="U304" s="15" t="n">
        <x:f>ROUNDUP(MONTH(A304)/3,0)</x:f>
        <x:v>1</x:v>
      </x:c>
      <x:c r="V304" s="18" t="n">
        <x:f>I304-J304</x:f>
        <x:v>24184.420000000006</x:v>
      </x:c>
      <x:c r="W304" s="19" t="n">
        <x:f>IF(I304=0,"",V304/I304)</x:f>
        <x:v>0.39597314227491665</x:v>
      </x:c>
      <x:c r="X304" s="18" t="n">
        <x:f>I304-J304-K304-L304-M304</x:f>
        <x:v>18992.970000000005</x:v>
      </x:c>
      <x:c r="Y304" s="19" t="n">
        <x:f>IF(I304=0,"",X304/I304)</x:f>
        <x:v>0.3109731807516254</x:v>
      </x:c>
      <x:c r="Z304" s="18" t="n">
        <x:f>IF(E304=0,"",F304/E304)</x:f>
        <x:v>1160.6682142857142</x:v>
      </x:c>
      <x:c r="AA304" s="18" t="n">
        <x:f>IF(N304=0,"",M304/N304)</x:f>
        <x:v>68.710625</x:v>
      </x:c>
      <x:c r="AB304" s="19" t="n">
        <x:f>IF(E304=0,"",O304/E304)</x:f>
        <x:v>0.14285714285714285</x:v>
      </x:c>
      <x:c r="AC304" s="19" t="n">
        <x:f>IF(E304=0,"",P304/E304)</x:f>
        <x:v>0.03571428571428571</x:v>
      </x:c>
      <x:c r="AD304" s="20" t="n">
        <x:f>IF(Q304=0,"",100*(R304-S304)/Q304)</x:f>
        <x:v>38.888888888888886</x:v>
      </x:c>
      <x:c r="AE304" s="19" t="n">
        <x:f>IF(F304=0,"",G304/F304)</x:f>
        <x:v>0.03833336769367154</x:v>
      </x:c>
      <x:c r="AF304" s="18" t="n">
        <x:f>ROUND(I304-(F304-G304-H304),2)</x:f>
        <x:v>0</x:v>
      </x:c>
    </x:row>
    <x:row r="305" ht="24" customHeight="1">
      <x:c r="A305" s="14" t="n">
        <x:v>45658</x:v>
      </x:c>
      <x:c r="B305" s="2" t="str">
        <x:v>B2B</x:v>
      </x:c>
      <x:c r="C305" s="2" t="str">
        <x:v>Centro-Oeste</x:v>
      </x:c>
      <x:c r="D305" s="2" t="str">
        <x:v>M-0300</x:v>
      </x:c>
      <x:c r="E305" s="16" t="n">
        <x:v>44</x:v>
      </x:c>
      <x:c r="F305" s="17" t="n">
        <x:v>50904.64</x:v>
      </x:c>
      <x:c r="G305" s="17" t="n">
        <x:v>1951.34</x:v>
      </x:c>
      <x:c r="H305" s="17" t="n">
        <x:v>1119.9</x:v>
      </x:c>
      <x:c r="I305" s="17" t="n">
        <x:v>47833.4</x:v>
      </x:c>
      <x:c r="J305" s="17" t="n">
        <x:v>29207.17</x:v>
      </x:c>
      <x:c r="K305" s="17" t="n">
        <x:v>2056.84</x:v>
      </x:c>
      <x:c r="L305" s="17" t="n">
        <x:v>1148</x:v>
      </x:c>
      <x:c r="M305" s="17" t="n">
        <x:v>861</x:v>
      </x:c>
      <x:c r="N305" s="16" t="n">
        <x:v>12</x:v>
      </x:c>
      <x:c r="O305" s="16" t="n">
        <x:v>6</x:v>
      </x:c>
      <x:c r="P305" s="16" t="n">
        <x:v>1</x:v>
      </x:c>
      <x:c r="Q305" s="16" t="n">
        <x:v>14</x:v>
      </x:c>
      <x:c r="R305" s="16" t="n">
        <x:v>8</x:v>
      </x:c>
      <x:c r="S305" s="16" t="n">
        <x:v>3</x:v>
      </x:c>
      <x:c r="T305" s="15" t="n">
        <x:f>YEAR(A305)</x:f>
        <x:v>2025</x:v>
      </x:c>
      <x:c r="U305" s="15" t="n">
        <x:f>ROUNDUP(MONTH(A305)/3,0)</x:f>
        <x:v>1</x:v>
      </x:c>
      <x:c r="V305" s="18" t="n">
        <x:f>I305-J305</x:f>
        <x:v>18626.230000000003</x:v>
      </x:c>
      <x:c r="W305" s="19" t="n">
        <x:f>IF(I305=0,"",V305/I305)</x:f>
        <x:v>0.38939799387039187</x:v>
      </x:c>
      <x:c r="X305" s="18" t="n">
        <x:f>I305-J305-K305-L305-M305</x:f>
        <x:v>14560.390000000003</x:v>
      </x:c>
      <x:c r="Y305" s="19" t="n">
        <x:f>IF(I305=0,"",X305/I305)</x:f>
        <x:v>0.30439797296449767</x:v>
      </x:c>
      <x:c r="Z305" s="18" t="n">
        <x:f>IF(E305=0,"",F305/E305)</x:f>
        <x:v>1156.9236363636364</x:v>
      </x:c>
      <x:c r="AA305" s="18" t="n">
        <x:f>IF(N305=0,"",M305/N305)</x:f>
        <x:v>71.75</x:v>
      </x:c>
      <x:c r="AB305" s="19" t="n">
        <x:f>IF(E305=0,"",O305/E305)</x:f>
        <x:v>0.13636363636363635</x:v>
      </x:c>
      <x:c r="AC305" s="19" t="n">
        <x:f>IF(E305=0,"",P305/E305)</x:f>
        <x:v>0.022727272727272728</x:v>
      </x:c>
      <x:c r="AD305" s="20" t="n">
        <x:f>IF(Q305=0,"",100*(R305-S305)/Q305)</x:f>
        <x:v>35.714285714285715</x:v>
      </x:c>
      <x:c r="AE305" s="19" t="n">
        <x:f>IF(F305=0,"",G305/F305)</x:f>
        <x:v>0.0383332442779283</x:v>
      </x:c>
      <x:c r="AF305" s="18" t="n">
        <x:f>ROUND(I305-(F305-G305-H305),2)</x:f>
        <x:v>0</x:v>
      </x:c>
    </x:row>
    <x:row r="306" ht="24" customHeight="1">
      <x:c r="A306" s="14" t="n">
        <x:v>45689</x:v>
      </x:c>
      <x:c r="B306" s="2" t="str">
        <x:v>E-commerce</x:v>
      </x:c>
      <x:c r="C306" s="2" t="str">
        <x:v>Sudeste</x:v>
      </x:c>
      <x:c r="D306" s="2" t="str">
        <x:v>M-0301</x:v>
      </x:c>
      <x:c r="E306" s="16" t="n">
        <x:v>197</x:v>
      </x:c>
      <x:c r="F306" s="17" t="n">
        <x:v>228469.23</x:v>
      </x:c>
      <x:c r="G306" s="17" t="n">
        <x:v>8884.91</x:v>
      </x:c>
      <x:c r="H306" s="17" t="n">
        <x:v>5140.56</x:v>
      </x:c>
      <x:c r="I306" s="17" t="n">
        <x:v>214443.76</x:v>
      </x:c>
      <x:c r="J306" s="17" t="n">
        <x:v>129284.63</x:v>
      </x:c>
      <x:c r="K306" s="17" t="n">
        <x:v>13938.84</x:v>
      </x:c>
      <x:c r="L306" s="17" t="n">
        <x:v>5146.65</x:v>
      </x:c>
      <x:c r="M306" s="17" t="n">
        <x:v>16083.28</x:v>
      </x:c>
      <x:c r="N306" s="16" t="n">
        <x:v>102</x:v>
      </x:c>
      <x:c r="O306" s="16" t="n">
        <x:v>28</x:v>
      </x:c>
      <x:c r="P306" s="16" t="n">
        <x:v>6</x:v>
      </x:c>
      <x:c r="Q306" s="16" t="n">
        <x:v>63</x:v>
      </x:c>
      <x:c r="R306" s="16" t="n">
        <x:v>37</x:v>
      </x:c>
      <x:c r="S306" s="16" t="n">
        <x:v>13</x:v>
      </x:c>
      <x:c r="T306" s="15" t="n">
        <x:f>YEAR(A306)</x:f>
        <x:v>2025</x:v>
      </x:c>
      <x:c r="U306" s="15" t="n">
        <x:f>ROUNDUP(MONTH(A306)/3,0)</x:f>
        <x:v>1</x:v>
      </x:c>
      <x:c r="V306" s="18" t="n">
        <x:f>I306-J306</x:f>
        <x:v>85159.13</x:v>
      </x:c>
      <x:c r="W306" s="19" t="n">
        <x:f>IF(I306=0,"",V306/I306)</x:f>
        <x:v>0.39711638146990147</x:v>
      </x:c>
      <x:c r="X306" s="18" t="n">
        <x:f>I306-J306-K306-L306-M306</x:f>
        <x:v>49990.360000000015</x:v>
      </x:c>
      <x:c r="Y306" s="19" t="n">
        <x:f>IF(I306=0,"",X306/I306)</x:f>
        <x:v>0.23311641243373094</x:v>
      </x:c>
      <x:c r="Z306" s="18" t="n">
        <x:f>IF(E306=0,"",F306/E306)</x:f>
        <x:v>1159.7422842639594</x:v>
      </x:c>
      <x:c r="AA306" s="18" t="n">
        <x:f>IF(N306=0,"",M306/N306)</x:f>
        <x:v>157.67921568627452</x:v>
      </x:c>
      <x:c r="AB306" s="19" t="n">
        <x:f>IF(E306=0,"",O306/E306)</x:f>
        <x:v>0.14213197969543148</x:v>
      </x:c>
      <x:c r="AC306" s="19" t="n">
        <x:f>IF(E306=0,"",P306/E306)</x:f>
        <x:v>0.030456852791878174</x:v>
      </x:c>
      <x:c r="AD306" s="20" t="n">
        <x:f>IF(Q306=0,"",100*(R306-S306)/Q306)</x:f>
        <x:v>38.095238095238095</x:v>
      </x:c>
      <x:c r="AE306" s="19" t="n">
        <x:f>IF(F306=0,"",G306/F306)</x:f>
        <x:v>0.0388888691925823</x:v>
      </x:c>
      <x:c r="AF306" s="18" t="n">
        <x:f>ROUND(I306-(F306-G306-H306),2)</x:f>
        <x:v>0</x:v>
      </x:c>
    </x:row>
    <x:row r="307" ht="24" customHeight="1">
      <x:c r="A307" s="14" t="n">
        <x:v>45689</x:v>
      </x:c>
      <x:c r="B307" s="2" t="str">
        <x:v>E-commerce</x:v>
      </x:c>
      <x:c r="C307" s="2" t="str">
        <x:v>Nordeste</x:v>
      </x:c>
      <x:c r="D307" s="2" t="str">
        <x:v>M-0302</x:v>
      </x:c>
      <x:c r="E307" s="16" t="n">
        <x:v>109</x:v>
      </x:c>
      <x:c r="F307" s="17" t="n">
        <x:v>126931.76</x:v>
      </x:c>
      <x:c r="G307" s="17" t="n">
        <x:v>4936.24</x:v>
      </x:c>
      <x:c r="H307" s="17" t="n">
        <x:v>2855.96</x:v>
      </x:c>
      <x:c r="I307" s="17" t="n">
        <x:v>119139.56</x:v>
      </x:c>
      <x:c r="J307" s="17" t="n">
        <x:v>70288.14</x:v>
      </x:c>
      <x:c r="K307" s="17" t="n">
        <x:v>7744.07</x:v>
      </x:c>
      <x:c r="L307" s="17" t="n">
        <x:v>2859.35</x:v>
      </x:c>
      <x:c r="M307" s="17" t="n">
        <x:v>8935.47</x:v>
      </x:c>
      <x:c r="N307" s="16" t="n">
        <x:v>57</x:v>
      </x:c>
      <x:c r="O307" s="16" t="n">
        <x:v>15</x:v>
      </x:c>
      <x:c r="P307" s="16" t="n">
        <x:v>3</x:v>
      </x:c>
      <x:c r="Q307" s="16" t="n">
        <x:v>35</x:v>
      </x:c>
      <x:c r="R307" s="16" t="n">
        <x:v>21</x:v>
      </x:c>
      <x:c r="S307" s="16" t="n">
        <x:v>7</x:v>
      </x:c>
      <x:c r="T307" s="15" t="n">
        <x:f>YEAR(A307)</x:f>
        <x:v>2025</x:v>
      </x:c>
      <x:c r="U307" s="15" t="n">
        <x:f>ROUNDUP(MONTH(A307)/3,0)</x:f>
        <x:v>1</x:v>
      </x:c>
      <x:c r="V307" s="18" t="n">
        <x:f>I307-J307</x:f>
        <x:v>48851.42</x:v>
      </x:c>
      <x:c r="W307" s="19" t="n">
        <x:f>IF(I307=0,"",V307/I307)</x:f>
        <x:v>0.41003525613154856</x:v>
      </x:c>
      <x:c r="X307" s="18" t="n">
        <x:f>I307-J307-K307-L307-M307</x:f>
        <x:v>29312.53</x:v>
      </x:c>
      <x:c r="Y307" s="19" t="n">
        <x:f>IF(I307=0,"",X307/I307)</x:f>
        <x:v>0.24603523800155044</x:v>
      </x:c>
      <x:c r="Z307" s="18" t="n">
        <x:f>IF(E307=0,"",F307/E307)</x:f>
        <x:v>1164.5115596330274</x:v>
      </x:c>
      <x:c r="AA307" s="18" t="n">
        <x:f>IF(N307=0,"",M307/N307)</x:f>
        <x:v>156.76263157894735</x:v>
      </x:c>
      <x:c r="AB307" s="19" t="n">
        <x:f>IF(E307=0,"",O307/E307)</x:f>
        <x:v>0.13761467889908258</x:v>
      </x:c>
      <x:c r="AC307" s="19" t="n">
        <x:f>IF(E307=0,"",P307/E307)</x:f>
        <x:v>0.027522935779816515</x:v>
      </x:c>
      <x:c r="AD307" s="20" t="n">
        <x:f>IF(Q307=0,"",100*(R307-S307)/Q307)</x:f>
        <x:v>40</x:v>
      </x:c>
      <x:c r="AE307" s="19" t="n">
        <x:f>IF(F307=0,"",G307/F307)</x:f>
        <x:v>0.038888927404772455</x:v>
      </x:c>
      <x:c r="AF307" s="18" t="n">
        <x:f>ROUND(I307-(F307-G307-H307),2)</x:f>
        <x:v>0</x:v>
      </x:c>
    </x:row>
    <x:row r="308" ht="24" customHeight="1">
      <x:c r="A308" s="14" t="n">
        <x:v>45689</x:v>
      </x:c>
      <x:c r="B308" s="2" t="str">
        <x:v>E-commerce</x:v>
      </x:c>
      <x:c r="C308" s="2" t="str">
        <x:v>Sul</x:v>
      </x:c>
      <x:c r="D308" s="2" t="str">
        <x:v>M-0303</x:v>
      </x:c>
      <x:c r="E308" s="16" t="n">
        <x:v>97</x:v>
      </x:c>
      <x:c r="F308" s="17" t="n">
        <x:v>113167.65</x:v>
      </x:c>
      <x:c r="G308" s="17" t="n">
        <x:v>4400.96</x:v>
      </x:c>
      <x:c r="H308" s="17" t="n">
        <x:v>2546.27</x:v>
      </x:c>
      <x:c r="I308" s="17" t="n">
        <x:v>106220.42</x:v>
      </x:c>
      <x:c r="J308" s="17" t="n">
        <x:v>65638.51</x:v>
      </x:c>
      <x:c r="K308" s="17" t="n">
        <x:v>6904.33</x:v>
      </x:c>
      <x:c r="L308" s="17" t="n">
        <x:v>2549.29</x:v>
      </x:c>
      <x:c r="M308" s="17" t="n">
        <x:v>7966.53</x:v>
      </x:c>
      <x:c r="N308" s="16" t="n">
        <x:v>50</x:v>
      </x:c>
      <x:c r="O308" s="16" t="n">
        <x:v>14</x:v>
      </x:c>
      <x:c r="P308" s="16" t="n">
        <x:v>3</x:v>
      </x:c>
      <x:c r="Q308" s="16" t="n">
        <x:v>31</x:v>
      </x:c>
      <x:c r="R308" s="16" t="n">
        <x:v>18</x:v>
      </x:c>
      <x:c r="S308" s="16" t="n">
        <x:v>6</x:v>
      </x:c>
      <x:c r="T308" s="15" t="n">
        <x:f>YEAR(A308)</x:f>
        <x:v>2025</x:v>
      </x:c>
      <x:c r="U308" s="15" t="n">
        <x:f>ROUNDUP(MONTH(A308)/3,0)</x:f>
        <x:v>1</x:v>
      </x:c>
      <x:c r="V308" s="18" t="n">
        <x:f>I308-J308</x:f>
        <x:v>40581.91</x:v>
      </x:c>
      <x:c r="W308" s="19" t="n">
        <x:f>IF(I308=0,"",V308/I308)</x:f>
        <x:v>0.3820537519998509</x:v>
      </x:c>
      <x:c r="X308" s="18" t="n">
        <x:f>I308-J308-K308-L308-M308</x:f>
        <x:v>23161.760000000002</x:v>
      </x:c>
      <x:c r="Y308" s="19" t="n">
        <x:f>IF(I308=0,"",X308/I308)</x:f>
        <x:v>0.21805374145573894</x:v>
      </x:c>
      <x:c r="Z308" s="18" t="n">
        <x:f>IF(E308=0,"",F308/E308)</x:f>
        <x:v>1166.6768041237112</x:v>
      </x:c>
      <x:c r="AA308" s="18" t="n">
        <x:f>IF(N308=0,"",M308/N308)</x:f>
        <x:v>159.3306</x:v>
      </x:c>
      <x:c r="AB308" s="19" t="n">
        <x:f>IF(E308=0,"",O308/E308)</x:f>
        <x:v>0.14432989690721648</x:v>
      </x:c>
      <x:c r="AC308" s="19" t="n">
        <x:f>IF(E308=0,"",P308/E308)</x:f>
        <x:v>0.030927835051546393</x:v>
      </x:c>
      <x:c r="AD308" s="20" t="n">
        <x:f>IF(Q308=0,"",100*(R308-S308)/Q308)</x:f>
        <x:v>38.70967741935484</x:v>
      </x:c>
      <x:c r="AE308" s="19" t="n">
        <x:f>IF(F308=0,"",G308/F308)</x:f>
        <x:v>0.03888885207035756</x:v>
      </x:c>
      <x:c r="AF308" s="18" t="n">
        <x:f>ROUND(I308-(F308-G308-H308),2)</x:f>
        <x:v>0</x:v>
      </x:c>
    </x:row>
    <x:row r="309" ht="24" customHeight="1">
      <x:c r="A309" s="14" t="n">
        <x:v>45689</x:v>
      </x:c>
      <x:c r="B309" s="2" t="str">
        <x:v>E-commerce</x:v>
      </x:c>
      <x:c r="C309" s="2" t="str">
        <x:v>Centro-Oeste</x:v>
      </x:c>
      <x:c r="D309" s="2" t="str">
        <x:v>M-0304</x:v>
      </x:c>
      <x:c r="E309" s="16" t="n">
        <x:v>83</x:v>
      </x:c>
      <x:c r="F309" s="17" t="n">
        <x:v>96472.25</x:v>
      </x:c>
      <x:c r="G309" s="17" t="n">
        <x:v>3751.7</x:v>
      </x:c>
      <x:c r="H309" s="17" t="n">
        <x:v>2170.63</x:v>
      </x:c>
      <x:c r="I309" s="17" t="n">
        <x:v>90549.92</x:v>
      </x:c>
      <x:c r="J309" s="17" t="n">
        <x:v>56084.47</x:v>
      </x:c>
      <x:c r="K309" s="17" t="n">
        <x:v>5885.74</x:v>
      </x:c>
      <x:c r="L309" s="17" t="n">
        <x:v>2173.2</x:v>
      </x:c>
      <x:c r="M309" s="17" t="n">
        <x:v>6791.24</x:v>
      </x:c>
      <x:c r="N309" s="16" t="n">
        <x:v>43</x:v>
      </x:c>
      <x:c r="O309" s="16" t="n">
        <x:v>12</x:v>
      </x:c>
      <x:c r="P309" s="16" t="n">
        <x:v>3</x:v>
      </x:c>
      <x:c r="Q309" s="16" t="n">
        <x:v>27</x:v>
      </x:c>
      <x:c r="R309" s="16" t="n">
        <x:v>16</x:v>
      </x:c>
      <x:c r="S309" s="16" t="n">
        <x:v>5</x:v>
      </x:c>
      <x:c r="T309" s="15" t="n">
        <x:f>YEAR(A309)</x:f>
        <x:v>2025</x:v>
      </x:c>
      <x:c r="U309" s="15" t="n">
        <x:f>ROUNDUP(MONTH(A309)/3,0)</x:f>
        <x:v>1</x:v>
      </x:c>
      <x:c r="V309" s="18" t="n">
        <x:f>I309-J309</x:f>
        <x:v>34465.45</x:v>
      </x:c>
      <x:c r="W309" s="19" t="n">
        <x:f>IF(I309=0,"",V309/I309)</x:f>
        <x:v>0.380623748756487</x:v>
      </x:c>
      <x:c r="X309" s="18" t="n">
        <x:f>I309-J309-K309-L309-M309</x:f>
        <x:v>19615.269999999997</x:v>
      </x:c>
      <x:c r="Y309" s="19" t="n">
        <x:f>IF(I309=0,"",X309/I309)</x:f>
        <x:v>0.2166238247366756</x:v>
      </x:c>
      <x:c r="Z309" s="18" t="n">
        <x:f>IF(E309=0,"",F309/E309)</x:f>
        <x:v>1162.316265060241</x:v>
      </x:c>
      <x:c r="AA309" s="18" t="n">
        <x:f>IF(N309=0,"",M309/N309)</x:f>
        <x:v>157.93581395348838</x:v>
      </x:c>
      <x:c r="AB309" s="19" t="n">
        <x:f>IF(E309=0,"",O309/E309)</x:f>
        <x:v>0.14457831325301204</x:v>
      </x:c>
      <x:c r="AC309" s="19" t="n">
        <x:f>IF(E309=0,"",P309/E309)</x:f>
        <x:v>0.03614457831325301</x:v>
      </x:c>
      <x:c r="AD309" s="20" t="n">
        <x:f>IF(Q309=0,"",100*(R309-S309)/Q309)</x:f>
        <x:v>40.74074074074074</x:v>
      </x:c>
      <x:c r="AE309" s="19" t="n">
        <x:f>IF(F309=0,"",G309/F309)</x:f>
        <x:v>0.038888903285659866</x:v>
      </x:c>
      <x:c r="AF309" s="18" t="n">
        <x:f>ROUND(I309-(F309-G309-H309),2)</x:f>
        <x:v>0</x:v>
      </x:c>
    </x:row>
    <x:row r="310" ht="24" customHeight="1">
      <x:c r="A310" s="14" t="n">
        <x:v>45689</x:v>
      </x:c>
      <x:c r="B310" s="2" t="str">
        <x:v>Lojas</x:v>
      </x:c>
      <x:c r="C310" s="2" t="str">
        <x:v>Sudeste</x:v>
      </x:c>
      <x:c r="D310" s="2" t="str">
        <x:v>M-0305</x:v>
      </x:c>
      <x:c r="E310" s="16" t="n">
        <x:v>157</x:v>
      </x:c>
      <x:c r="F310" s="17" t="n">
        <x:v>182048.23</x:v>
      </x:c>
      <x:c r="G310" s="17" t="n">
        <x:v>7079.65</x:v>
      </x:c>
      <x:c r="H310" s="17" t="n">
        <x:v>4096.09</x:v>
      </x:c>
      <x:c r="I310" s="17" t="n">
        <x:v>170872.49</x:v>
      </x:c>
      <x:c r="J310" s="17" t="n">
        <x:v>99103.03</x:v>
      </x:c>
      <x:c r="K310" s="17" t="n">
        <x:v>7518.39</x:v>
      </x:c>
      <x:c r="L310" s="17" t="n">
        <x:v>4100.94</x:v>
      </x:c>
      <x:c r="M310" s="17" t="n">
        <x:v>3075.7</x:v>
      </x:c>
      <x:c r="N310" s="16" t="n">
        <x:v>44</x:v>
      </x:c>
      <x:c r="O310" s="16" t="n">
        <x:v>22</x:v>
      </x:c>
      <x:c r="P310" s="16" t="n">
        <x:v>5</x:v>
      </x:c>
      <x:c r="Q310" s="16" t="n">
        <x:v>50</x:v>
      </x:c>
      <x:c r="R310" s="16" t="n">
        <x:v>30</x:v>
      </x:c>
      <x:c r="S310" s="16" t="n">
        <x:v>10</x:v>
      </x:c>
      <x:c r="T310" s="15" t="n">
        <x:f>YEAR(A310)</x:f>
        <x:v>2025</x:v>
      </x:c>
      <x:c r="U310" s="15" t="n">
        <x:f>ROUNDUP(MONTH(A310)/3,0)</x:f>
        <x:v>1</x:v>
      </x:c>
      <x:c r="V310" s="18" t="n">
        <x:f>I310-J310</x:f>
        <x:v>71769.45999999999</x:v>
      </x:c>
      <x:c r="W310" s="19" t="n">
        <x:f>IF(I310=0,"",V310/I310)</x:f>
        <x:v>0.42001764005428843</x:v>
      </x:c>
      <x:c r="X310" s="18" t="n">
        <x:f>I310-J310-K310-L310-M310</x:f>
        <x:v>57074.42999999999</x:v>
      </x:c>
      <x:c r="Y310" s="19" t="n">
        <x:f>IF(I310=0,"",X310/I310)</x:f>
        <x:v>0.3340176642828813</x:v>
      </x:c>
      <x:c r="Z310" s="18" t="n">
        <x:f>IF(E310=0,"",F310/E310)</x:f>
        <x:v>1159.5428662420384</x:v>
      </x:c>
      <x:c r="AA310" s="18" t="n">
        <x:f>IF(N310=0,"",M310/N310)</x:f>
        <x:v>69.90227272727272</x:v>
      </x:c>
      <x:c r="AB310" s="19" t="n">
        <x:f>IF(E310=0,"",O310/E310)</x:f>
        <x:v>0.14012738853503184</x:v>
      </x:c>
      <x:c r="AC310" s="19" t="n">
        <x:f>IF(E310=0,"",P310/E310)</x:f>
        <x:v>0.03184713375796178</x:v>
      </x:c>
      <x:c r="AD310" s="20" t="n">
        <x:f>IF(Q310=0,"",100*(R310-S310)/Q310)</x:f>
        <x:v>40</x:v>
      </x:c>
      <x:c r="AE310" s="19" t="n">
        <x:f>IF(F310=0,"",G310/F310)</x:f>
        <x:v>0.03888887027355333</x:v>
      </x:c>
      <x:c r="AF310" s="18" t="n">
        <x:f>ROUND(I310-(F310-G310-H310),2)</x:f>
        <x:v>0</x:v>
      </x:c>
    </x:row>
    <x:row r="311" ht="24" customHeight="1">
      <x:c r="A311" s="14" t="n">
        <x:v>45689</x:v>
      </x:c>
      <x:c r="B311" s="2" t="str">
        <x:v>Lojas</x:v>
      </x:c>
      <x:c r="C311" s="2" t="str">
        <x:v>Nordeste</x:v>
      </x:c>
      <x:c r="D311" s="2" t="str">
        <x:v>M-0306</x:v>
      </x:c>
      <x:c r="E311" s="16" t="n">
        <x:v>112</x:v>
      </x:c>
      <x:c r="F311" s="17" t="n">
        <x:v>130596.89</x:v>
      </x:c>
      <x:c r="G311" s="17" t="n">
        <x:v>5078.77</x:v>
      </x:c>
      <x:c r="H311" s="17" t="n">
        <x:v>2938.43</x:v>
      </x:c>
      <x:c r="I311" s="17" t="n">
        <x:v>122579.69</x:v>
      </x:c>
      <x:c r="J311" s="17" t="n">
        <x:v>73456.92</x:v>
      </x:c>
      <x:c r="K311" s="17" t="n">
        <x:v>5393.51</x:v>
      </x:c>
      <x:c r="L311" s="17" t="n">
        <x:v>2941.91</x:v>
      </x:c>
      <x:c r="M311" s="17" t="n">
        <x:v>2206.43</x:v>
      </x:c>
      <x:c r="N311" s="16" t="n">
        <x:v>31</x:v>
      </x:c>
      <x:c r="O311" s="16" t="n">
        <x:v>16</x:v>
      </x:c>
      <x:c r="P311" s="16" t="n">
        <x:v>3</x:v>
      </x:c>
      <x:c r="Q311" s="16" t="n">
        <x:v>36</x:v>
      </x:c>
      <x:c r="R311" s="16" t="n">
        <x:v>21</x:v>
      </x:c>
      <x:c r="S311" s="16" t="n">
        <x:v>7</x:v>
      </x:c>
      <x:c r="T311" s="15" t="n">
        <x:f>YEAR(A311)</x:f>
        <x:v>2025</x:v>
      </x:c>
      <x:c r="U311" s="15" t="n">
        <x:f>ROUNDUP(MONTH(A311)/3,0)</x:f>
        <x:v>1</x:v>
      </x:c>
      <x:c r="V311" s="18" t="n">
        <x:f>I311-J311</x:f>
        <x:v>49122.770000000004</x:v>
      </x:c>
      <x:c r="W311" s="19" t="n">
        <x:f>IF(I311=0,"",V311/I311)</x:f>
        <x:v>0.40074150946213033</x:v>
      </x:c>
      <x:c r="X311" s="18" t="n">
        <x:f>I311-J311-K311-L311-M311</x:f>
        <x:v>38580.920000000006</x:v>
      </x:c>
      <x:c r="Y311" s="19" t="n">
        <x:f>IF(I311=0,"",X311/I311)</x:f>
        <x:v>0.3147415367097111</x:v>
      </x:c>
      <x:c r="Z311" s="18" t="n">
        <x:f>IF(E311=0,"",F311/E311)</x:f>
        <x:v>1166.0436607142858</x:v>
      </x:c>
      <x:c r="AA311" s="18" t="n">
        <x:f>IF(N311=0,"",M311/N311)</x:f>
        <x:v>71.17516129032258</x:v>
      </x:c>
      <x:c r="AB311" s="19" t="n">
        <x:f>IF(E311=0,"",O311/E311)</x:f>
        <x:v>0.14285714285714285</x:v>
      </x:c>
      <x:c r="AC311" s="19" t="n">
        <x:f>IF(E311=0,"",P311/E311)</x:f>
        <x:v>0.026785714285714284</x:v>
      </x:c>
      <x:c r="AD311" s="20" t="n">
        <x:f>IF(Q311=0,"",100*(R311-S311)/Q311)</x:f>
        <x:v>38.888888888888886</x:v>
      </x:c>
      <x:c r="AE311" s="19" t="n">
        <x:f>IF(F311=0,"",G311/F311)</x:f>
        <x:v>0.03888890462858649</x:v>
      </x:c>
      <x:c r="AF311" s="18" t="n">
        <x:f>ROUND(I311-(F311-G311-H311),2)</x:f>
        <x:v>0</x:v>
      </x:c>
    </x:row>
    <x:row r="312" ht="24" customHeight="1">
      <x:c r="A312" s="14" t="n">
        <x:v>45689</x:v>
      </x:c>
      <x:c r="B312" s="2" t="str">
        <x:v>Lojas</x:v>
      </x:c>
      <x:c r="C312" s="2" t="str">
        <x:v>Sul</x:v>
      </x:c>
      <x:c r="D312" s="2" t="str">
        <x:v>M-0307</x:v>
      </x:c>
      <x:c r="E312" s="16" t="n">
        <x:v>79</x:v>
      </x:c>
      <x:c r="F312" s="17" t="n">
        <x:v>92358.54</x:v>
      </x:c>
      <x:c r="G312" s="17" t="n">
        <x:v>3591.72</x:v>
      </x:c>
      <x:c r="H312" s="17" t="n">
        <x:v>2078.07</x:v>
      </x:c>
      <x:c r="I312" s="17" t="n">
        <x:v>86688.75</x:v>
      </x:c>
      <x:c r="J312" s="17" t="n">
        <x:v>52655.21</x:v>
      </x:c>
      <x:c r="K312" s="17" t="n">
        <x:v>3814.3</x:v>
      </x:c>
      <x:c r="L312" s="17" t="n">
        <x:v>2080.53</x:v>
      </x:c>
      <x:c r="M312" s="17" t="n">
        <x:v>1560.4</x:v>
      </x:c>
      <x:c r="N312" s="16" t="n">
        <x:v>22</x:v>
      </x:c>
      <x:c r="O312" s="16" t="n">
        <x:v>11</x:v>
      </x:c>
      <x:c r="P312" s="16" t="n">
        <x:v>2</x:v>
      </x:c>
      <x:c r="Q312" s="16" t="n">
        <x:v>25</x:v>
      </x:c>
      <x:c r="R312" s="16" t="n">
        <x:v>15</x:v>
      </x:c>
      <x:c r="S312" s="16" t="n">
        <x:v>5</x:v>
      </x:c>
      <x:c r="T312" s="15" t="n">
        <x:f>YEAR(A312)</x:f>
        <x:v>2025</x:v>
      </x:c>
      <x:c r="U312" s="15" t="n">
        <x:f>ROUNDUP(MONTH(A312)/3,0)</x:f>
        <x:v>1</x:v>
      </x:c>
      <x:c r="V312" s="18" t="n">
        <x:f>I312-J312</x:f>
        <x:v>34033.54</x:v>
      </x:c>
      <x:c r="W312" s="19" t="n">
        <x:f>IF(I312=0,"",V312/I312)</x:f>
        <x:v>0.39259465616934147</x:v>
      </x:c>
      <x:c r="X312" s="18" t="n">
        <x:f>I312-J312-K312-L312-M312</x:f>
        <x:v>26578.31</x:v>
      </x:c>
      <x:c r="Y312" s="19" t="n">
        <x:f>IF(I312=0,"",X312/I312)</x:f>
        <x:v>0.30659468500814696</x:v>
      </x:c>
      <x:c r="Z312" s="18" t="n">
        <x:f>IF(E312=0,"",F312/E312)</x:f>
        <x:v>1169.0954430379745</x:v>
      </x:c>
      <x:c r="AA312" s="18" t="n">
        <x:f>IF(N312=0,"",M312/N312)</x:f>
        <x:v>70.92727272727274</x:v>
      </x:c>
      <x:c r="AB312" s="19" t="n">
        <x:f>IF(E312=0,"",O312/E312)</x:f>
        <x:v>0.13924050632911392</x:v>
      </x:c>
      <x:c r="AC312" s="19" t="n">
        <x:f>IF(E312=0,"",P312/E312)</x:f>
        <x:v>0.02531645569620253</x:v>
      </x:c>
      <x:c r="AD312" s="20" t="n">
        <x:f>IF(Q312=0,"",100*(R312-S312)/Q312)</x:f>
        <x:v>40</x:v>
      </x:c>
      <x:c r="AE312" s="19" t="n">
        <x:f>IF(F312=0,"",G312/F312)</x:f>
        <x:v>0.03888887806151981</x:v>
      </x:c>
      <x:c r="AF312" s="18" t="n">
        <x:f>ROUND(I312-(F312-G312-H312),2)</x:f>
        <x:v>0</x:v>
      </x:c>
    </x:row>
    <x:row r="313" ht="24" customHeight="1">
      <x:c r="A313" s="14" t="n">
        <x:v>45689</x:v>
      </x:c>
      <x:c r="B313" s="2" t="str">
        <x:v>Lojas</x:v>
      </x:c>
      <x:c r="C313" s="2" t="str">
        <x:v>Centro-Oeste</x:v>
      </x:c>
      <x:c r="D313" s="2" t="str">
        <x:v>M-0308</x:v>
      </x:c>
      <x:c r="E313" s="16" t="n">
        <x:v>65</x:v>
      </x:c>
      <x:c r="F313" s="17" t="n">
        <x:v>75377.61</x:v>
      </x:c>
      <x:c r="G313" s="17" t="n">
        <x:v>2931.35</x:v>
      </x:c>
      <x:c r="H313" s="17" t="n">
        <x:v>1696</x:v>
      </x:c>
      <x:c r="I313" s="17" t="n">
        <x:v>70750.26</x:v>
      </x:c>
      <x:c r="J313" s="17" t="n">
        <x:v>41974.85</x:v>
      </x:c>
      <x:c r="K313" s="17" t="n">
        <x:v>3113.01</x:v>
      </x:c>
      <x:c r="L313" s="17" t="n">
        <x:v>1698.01</x:v>
      </x:c>
      <x:c r="M313" s="17" t="n">
        <x:v>1273.5</x:v>
      </x:c>
      <x:c r="N313" s="16" t="n">
        <x:v>18</x:v>
      </x:c>
      <x:c r="O313" s="16" t="n">
        <x:v>9</x:v>
      </x:c>
      <x:c r="P313" s="16" t="n">
        <x:v>2</x:v>
      </x:c>
      <x:c r="Q313" s="16" t="n">
        <x:v>21</x:v>
      </x:c>
      <x:c r="R313" s="16" t="n">
        <x:v>12</x:v>
      </x:c>
      <x:c r="S313" s="16" t="n">
        <x:v>4</x:v>
      </x:c>
      <x:c r="T313" s="15" t="n">
        <x:f>YEAR(A313)</x:f>
        <x:v>2025</x:v>
      </x:c>
      <x:c r="U313" s="15" t="n">
        <x:f>ROUNDUP(MONTH(A313)/3,0)</x:f>
        <x:v>1</x:v>
      </x:c>
      <x:c r="V313" s="18" t="n">
        <x:f>I313-J313</x:f>
        <x:v>28775.409999999996</x:v>
      </x:c>
      <x:c r="W313" s="19" t="n">
        <x:f>IF(I313=0,"",V313/I313)</x:f>
        <x:v>0.40671808131871173</x:v>
      </x:c>
      <x:c r="X313" s="18" t="n">
        <x:f>I313-J313-K313-L313-M313</x:f>
        <x:v>22690.889999999996</x:v>
      </x:c>
      <x:c r="Y313" s="19" t="n">
        <x:f>IF(I313=0,"",X313/I313)</x:f>
        <x:v>0.3207181146754796</x:v>
      </x:c>
      <x:c r="Z313" s="18" t="n">
        <x:f>IF(E313=0,"",F313/E313)</x:f>
        <x:v>1159.6555384615385</x:v>
      </x:c>
      <x:c r="AA313" s="18" t="n">
        <x:f>IF(N313=0,"",M313/N313)</x:f>
        <x:v>70.75</x:v>
      </x:c>
      <x:c r="AB313" s="19" t="n">
        <x:f>IF(E313=0,"",O313/E313)</x:f>
        <x:v>0.13846153846153847</x:v>
      </x:c>
      <x:c r="AC313" s="19" t="n">
        <x:f>IF(E313=0,"",P313/E313)</x:f>
        <x:v>0.03076923076923077</x:v>
      </x:c>
      <x:c r="AD313" s="20" t="n">
        <x:f>IF(Q313=0,"",100*(R313-S313)/Q313)</x:f>
        <x:v>38.095238095238095</x:v>
      </x:c>
      <x:c r="AE313" s="19" t="n">
        <x:f>IF(F313=0,"",G313/F313)</x:f>
        <x:v>0.03888886898908044</x:v>
      </x:c>
      <x:c r="AF313" s="18" t="n">
        <x:f>ROUND(I313-(F313-G313-H313),2)</x:f>
        <x:v>0</x:v>
      </x:c>
    </x:row>
    <x:row r="314" ht="24" customHeight="1">
      <x:c r="A314" s="14" t="n">
        <x:v>45689</x:v>
      </x:c>
      <x:c r="B314" s="2" t="str">
        <x:v>B2B</x:v>
      </x:c>
      <x:c r="C314" s="2" t="str">
        <x:v>Sudeste</x:v>
      </x:c>
      <x:c r="D314" s="2" t="str">
        <x:v>M-0309</x:v>
      </x:c>
      <x:c r="E314" s="16" t="n">
        <x:v>92</x:v>
      </x:c>
      <x:c r="F314" s="17" t="n">
        <x:v>106749.82</x:v>
      </x:c>
      <x:c r="G314" s="17" t="n">
        <x:v>4151.38</x:v>
      </x:c>
      <x:c r="H314" s="17" t="n">
        <x:v>2401.87</x:v>
      </x:c>
      <x:c r="I314" s="17" t="n">
        <x:v>100196.57</x:v>
      </x:c>
      <x:c r="J314" s="17" t="n">
        <x:v>61568.06</x:v>
      </x:c>
      <x:c r="K314" s="17" t="n">
        <x:v>4408.65</x:v>
      </x:c>
      <x:c r="L314" s="17" t="n">
        <x:v>2404.72</x:v>
      </x:c>
      <x:c r="M314" s="17" t="n">
        <x:v>1803.54</x:v>
      </x:c>
      <x:c r="N314" s="16" t="n">
        <x:v>26</x:v>
      </x:c>
      <x:c r="O314" s="16" t="n">
        <x:v>13</x:v>
      </x:c>
      <x:c r="P314" s="16" t="n">
        <x:v>3</x:v>
      </x:c>
      <x:c r="Q314" s="16" t="n">
        <x:v>29</x:v>
      </x:c>
      <x:c r="R314" s="16" t="n">
        <x:v>17</x:v>
      </x:c>
      <x:c r="S314" s="16" t="n">
        <x:v>6</x:v>
      </x:c>
      <x:c r="T314" s="15" t="n">
        <x:f>YEAR(A314)</x:f>
        <x:v>2025</x:v>
      </x:c>
      <x:c r="U314" s="15" t="n">
        <x:f>ROUNDUP(MONTH(A314)/3,0)</x:f>
        <x:v>1</x:v>
      </x:c>
      <x:c r="V314" s="18" t="n">
        <x:f>I314-J314</x:f>
        <x:v>38628.51000000001</x:v>
      </x:c>
      <x:c r="W314" s="19" t="n">
        <x:f>IF(I314=0,"",V314/I314)</x:f>
        <x:v>0.38552726904723394</x:v>
      </x:c>
      <x:c r="X314" s="18" t="n">
        <x:f>I314-J314-K314-L314-M314</x:f>
        <x:v>30011.600000000006</x:v>
      </x:c>
      <x:c r="Y314" s="19" t="n">
        <x:f>IF(I314=0,"",X314/I314)</x:f>
        <x:v>0.2995272193449337</x:v>
      </x:c>
      <x:c r="Z314" s="18" t="n">
        <x:f>IF(E314=0,"",F314/E314)</x:f>
        <x:v>1160.3241304347828</x:v>
      </x:c>
      <x:c r="AA314" s="18" t="n">
        <x:f>IF(N314=0,"",M314/N314)</x:f>
        <x:v>69.36692307692307</x:v>
      </x:c>
      <x:c r="AB314" s="19" t="n">
        <x:f>IF(E314=0,"",O314/E314)</x:f>
        <x:v>0.14130434782608695</x:v>
      </x:c>
      <x:c r="AC314" s="19" t="n">
        <x:f>IF(E314=0,"",P314/E314)</x:f>
        <x:v>0.03260869565217391</x:v>
      </x:c>
      <x:c r="AD314" s="20" t="n">
        <x:f>IF(Q314=0,"",100*(R314-S314)/Q314)</x:f>
        <x:v>37.93103448275862</x:v>
      </x:c>
      <x:c r="AE314" s="19" t="n">
        <x:f>IF(F314=0,"",G314/F314)</x:f>
        <x:v>0.038888871194349556</x:v>
      </x:c>
      <x:c r="AF314" s="18" t="n">
        <x:f>ROUND(I314-(F314-G314-H314),2)</x:f>
        <x:v>0</x:v>
      </x:c>
    </x:row>
    <x:row r="315" ht="24" customHeight="1">
      <x:c r="A315" s="14" t="n">
        <x:v>45689</x:v>
      </x:c>
      <x:c r="B315" s="2" t="str">
        <x:v>B2B</x:v>
      </x:c>
      <x:c r="C315" s="2" t="str">
        <x:v>Nordeste</x:v>
      </x:c>
      <x:c r="D315" s="2" t="str">
        <x:v>M-0310</x:v>
      </x:c>
      <x:c r="E315" s="16" t="n">
        <x:v>64</x:v>
      </x:c>
      <x:c r="F315" s="17" t="n">
        <x:v>73802.84</x:v>
      </x:c>
      <x:c r="G315" s="17" t="n">
        <x:v>2870.11</x:v>
      </x:c>
      <x:c r="H315" s="17" t="n">
        <x:v>1660.56</x:v>
      </x:c>
      <x:c r="I315" s="17" t="n">
        <x:v>69272.17</x:v>
      </x:c>
      <x:c r="J315" s="17" t="n">
        <x:v>39927.91</x:v>
      </x:c>
      <x:c r="K315" s="17" t="n">
        <x:v>3047.98</x:v>
      </x:c>
      <x:c r="L315" s="17" t="n">
        <x:v>1662.53</x:v>
      </x:c>
      <x:c r="M315" s="17" t="n">
        <x:v>1246.9</x:v>
      </x:c>
      <x:c r="N315" s="16" t="n">
        <x:v>18</x:v>
      </x:c>
      <x:c r="O315" s="16" t="n">
        <x:v>9</x:v>
      </x:c>
      <x:c r="P315" s="16" t="n">
        <x:v>2</x:v>
      </x:c>
      <x:c r="Q315" s="16" t="n">
        <x:v>20</x:v>
      </x:c>
      <x:c r="R315" s="16" t="n">
        <x:v>12</x:v>
      </x:c>
      <x:c r="S315" s="16" t="n">
        <x:v>4</x:v>
      </x:c>
      <x:c r="T315" s="15" t="n">
        <x:f>YEAR(A315)</x:f>
        <x:v>2025</x:v>
      </x:c>
      <x:c r="U315" s="15" t="n">
        <x:f>ROUNDUP(MONTH(A315)/3,0)</x:f>
        <x:v>1</x:v>
      </x:c>
      <x:c r="V315" s="18" t="n">
        <x:f>I315-J315</x:f>
        <x:v>29344.259999999995</x:v>
      </x:c>
      <x:c r="W315" s="19" t="n">
        <x:f>IF(I315=0,"",V315/I315)</x:f>
        <x:v>0.42360821091644735</x:v>
      </x:c>
      <x:c r="X315" s="18" t="n">
        <x:f>I315-J315-K315-L315-M315</x:f>
        <x:v>23386.849999999995</x:v>
      </x:c>
      <x:c r="Y315" s="19" t="n">
        <x:f>IF(I315=0,"",X315/I315)</x:f>
        <x:v>0.3376081621234039</x:v>
      </x:c>
      <x:c r="Z315" s="18" t="n">
        <x:f>IF(E315=0,"",F315/E315)</x:f>
        <x:v>1153.169375</x:v>
      </x:c>
      <x:c r="AA315" s="18" t="n">
        <x:f>IF(N315=0,"",M315/N315)</x:f>
        <x:v>69.27222222222223</x:v>
      </x:c>
      <x:c r="AB315" s="19" t="n">
        <x:f>IF(E315=0,"",O315/E315)</x:f>
        <x:v>0.140625</x:v>
      </x:c>
      <x:c r="AC315" s="19" t="n">
        <x:f>IF(E315=0,"",P315/E315)</x:f>
        <x:v>0.03125</x:v>
      </x:c>
      <x:c r="AD315" s="20" t="n">
        <x:f>IF(Q315=0,"",100*(R315-S315)/Q315)</x:f>
        <x:v>40</x:v>
      </x:c>
      <x:c r="AE315" s="19" t="n">
        <x:f>IF(F315=0,"",G315/F315)</x:f>
        <x:v>0.03888888286683819</x:v>
      </x:c>
      <x:c r="AF315" s="18" t="n">
        <x:f>ROUND(I315-(F315-G315-H315),2)</x:f>
        <x:v>0</x:v>
      </x:c>
    </x:row>
    <x:row r="316" ht="24" customHeight="1">
      <x:c r="A316" s="14" t="n">
        <x:v>45689</x:v>
      </x:c>
      <x:c r="B316" s="2" t="str">
        <x:v>B2B</x:v>
      </x:c>
      <x:c r="C316" s="2" t="str">
        <x:v>Sul</x:v>
      </x:c>
      <x:c r="D316" s="2" t="str">
        <x:v>M-0311</x:v>
      </x:c>
      <x:c r="E316" s="16" t="n">
        <x:v>52</x:v>
      </x:c>
      <x:c r="F316" s="17" t="n">
        <x:v>60391.9</x:v>
      </x:c>
      <x:c r="G316" s="17" t="n">
        <x:v>2348.57</x:v>
      </x:c>
      <x:c r="H316" s="17" t="n">
        <x:v>1358.82</x:v>
      </x:c>
      <x:c r="I316" s="17" t="n">
        <x:v>56684.51</x:v>
      </x:c>
      <x:c r="J316" s="17" t="n">
        <x:v>32763.23</x:v>
      </x:c>
      <x:c r="K316" s="17" t="n">
        <x:v>2494.12</x:v>
      </x:c>
      <x:c r="L316" s="17" t="n">
        <x:v>1360.43</x:v>
      </x:c>
      <x:c r="M316" s="17" t="n">
        <x:v>1020.32</x:v>
      </x:c>
      <x:c r="N316" s="16" t="n">
        <x:v>15</x:v>
      </x:c>
      <x:c r="O316" s="16" t="n">
        <x:v>7</x:v>
      </x:c>
      <x:c r="P316" s="16" t="n">
        <x:v>2</x:v>
      </x:c>
      <x:c r="Q316" s="16" t="n">
        <x:v>17</x:v>
      </x:c>
      <x:c r="R316" s="16" t="n">
        <x:v>10</x:v>
      </x:c>
      <x:c r="S316" s="16" t="n">
        <x:v>3</x:v>
      </x:c>
      <x:c r="T316" s="15" t="n">
        <x:f>YEAR(A316)</x:f>
        <x:v>2025</x:v>
      </x:c>
      <x:c r="U316" s="15" t="n">
        <x:f>ROUNDUP(MONTH(A316)/3,0)</x:f>
        <x:v>1</x:v>
      </x:c>
      <x:c r="V316" s="18" t="n">
        <x:f>I316-J316</x:f>
        <x:v>23921.280000000002</x:v>
      </x:c>
      <x:c r="W316" s="19" t="n">
        <x:f>IF(I316=0,"",V316/I316)</x:f>
        <x:v>0.42200735262596434</x:v>
      </x:c>
      <x:c r="X316" s="18" t="n">
        <x:f>I316-J316-K316-L316-M316</x:f>
        <x:v>19046.410000000003</x:v>
      </x:c>
      <x:c r="Y316" s="19" t="n">
        <x:f>IF(I316=0,"",X316/I316)</x:f>
        <x:v>0.33600731487314617</x:v>
      </x:c>
      <x:c r="Z316" s="18" t="n">
        <x:f>IF(E316=0,"",F316/E316)</x:f>
        <x:v>1161.3826923076924</x:v>
      </x:c>
      <x:c r="AA316" s="18" t="n">
        <x:f>IF(N316=0,"",M316/N316)</x:f>
        <x:v>68.02133333333333</x:v>
      </x:c>
      <x:c r="AB316" s="19" t="n">
        <x:f>IF(E316=0,"",O316/E316)</x:f>
        <x:v>0.1346153846153846</x:v>
      </x:c>
      <x:c r="AC316" s="19" t="n">
        <x:f>IF(E316=0,"",P316/E316)</x:f>
        <x:v>0.038461538461538464</x:v>
      </x:c>
      <x:c r="AD316" s="20" t="n">
        <x:f>IF(Q316=0,"",100*(R316-S316)/Q316)</x:f>
        <x:v>41.1764705882353</x:v>
      </x:c>
      <x:c r="AE316" s="19" t="n">
        <x:f>IF(F316=0,"",G316/F316)</x:f>
        <x:v>0.038888824494675615</x:v>
      </x:c>
      <x:c r="AF316" s="18" t="n">
        <x:f>ROUND(I316-(F316-G316-H316),2)</x:f>
        <x:v>0</x:v>
      </x:c>
    </x:row>
    <x:row r="317" ht="24" customHeight="1">
      <x:c r="A317" s="14" t="n">
        <x:v>45689</x:v>
      </x:c>
      <x:c r="B317" s="2" t="str">
        <x:v>B2B</x:v>
      </x:c>
      <x:c r="C317" s="2" t="str">
        <x:v>Centro-Oeste</x:v>
      </x:c>
      <x:c r="D317" s="2" t="str">
        <x:v>M-0312</x:v>
      </x:c>
      <x:c r="E317" s="16" t="n">
        <x:v>42</x:v>
      </x:c>
      <x:c r="F317" s="17" t="n">
        <x:v>48583.85</x:v>
      </x:c>
      <x:c r="G317" s="17" t="n">
        <x:v>1889.37</x:v>
      </x:c>
      <x:c r="H317" s="17" t="n">
        <x:v>1093.14</x:v>
      </x:c>
      <x:c r="I317" s="17" t="n">
        <x:v>45601.34</x:v>
      </x:c>
      <x:c r="J317" s="17" t="n">
        <x:v>26749.34</x:v>
      </x:c>
      <x:c r="K317" s="17" t="n">
        <x:v>2006.46</x:v>
      </x:c>
      <x:c r="L317" s="17" t="n">
        <x:v>1094.43</x:v>
      </x:c>
      <x:c r="M317" s="17" t="n">
        <x:v>820.82</x:v>
      </x:c>
      <x:c r="N317" s="16" t="n">
        <x:v>12</x:v>
      </x:c>
      <x:c r="O317" s="16" t="n">
        <x:v>6</x:v>
      </x:c>
      <x:c r="P317" s="16" t="n">
        <x:v>1</x:v>
      </x:c>
      <x:c r="Q317" s="16" t="n">
        <x:v>13</x:v>
      </x:c>
      <x:c r="R317" s="16" t="n">
        <x:v>8</x:v>
      </x:c>
      <x:c r="S317" s="16" t="n">
        <x:v>3</x:v>
      </x:c>
      <x:c r="T317" s="15" t="n">
        <x:f>YEAR(A317)</x:f>
        <x:v>2025</x:v>
      </x:c>
      <x:c r="U317" s="15" t="n">
        <x:f>ROUNDUP(MONTH(A317)/3,0)</x:f>
        <x:v>1</x:v>
      </x:c>
      <x:c r="V317" s="18" t="n">
        <x:f>I317-J317</x:f>
        <x:v>18851.999999999996</x:v>
      </x:c>
      <x:c r="W317" s="19" t="n">
        <x:f>IF(I317=0,"",V317/I317)</x:f>
        <x:v>0.4134089042120253</x:v>
      </x:c>
      <x:c r="X317" s="18" t="n">
        <x:f>I317-J317-K317-L317-M317</x:f>
        <x:v>14930.289999999997</x:v>
      </x:c>
      <x:c r="Y317" s="19" t="n">
        <x:f>IF(I317=0,"",X317/I317)</x:f>
        <x:v>0.3274090191209293</x:v>
      </x:c>
      <x:c r="Z317" s="18" t="n">
        <x:f>IF(E317=0,"",F317/E317)</x:f>
        <x:v>1156.7583333333332</x:v>
      </x:c>
      <x:c r="AA317" s="18" t="n">
        <x:f>IF(N317=0,"",M317/N317)</x:f>
        <x:v>68.40166666666667</x:v>
      </x:c>
      <x:c r="AB317" s="19" t="n">
        <x:f>IF(E317=0,"",O317/E317)</x:f>
        <x:v>0.14285714285714285</x:v>
      </x:c>
      <x:c r="AC317" s="19" t="n">
        <x:f>IF(E317=0,"",P317/E317)</x:f>
        <x:v>0.023809523809523808</x:v>
      </x:c>
      <x:c r="AD317" s="20" t="n">
        <x:f>IF(Q317=0,"",100*(R317-S317)/Q317)</x:f>
        <x:v>38.46153846153846</x:v>
      </x:c>
      <x:c r="AE317" s="19" t="n">
        <x:f>IF(F317=0,"",G317/F317)</x:f>
        <x:v>0.0388888488664443</x:v>
      </x:c>
      <x:c r="AF317" s="18" t="n">
        <x:f>ROUND(I317-(F317-G317-H317),2)</x:f>
        <x:v>0</x:v>
      </x:c>
    </x:row>
    <x:row r="318" ht="24" customHeight="1">
      <x:c r="A318" s="14" t="n">
        <x:v>45717</x:v>
      </x:c>
      <x:c r="B318" s="2" t="str">
        <x:v>E-commerce</x:v>
      </x:c>
      <x:c r="C318" s="2" t="str">
        <x:v>Sudeste</x:v>
      </x:c>
      <x:c r="D318" s="2" t="str">
        <x:v>M-0313</x:v>
      </x:c>
      <x:c r="E318" s="16" t="n">
        <x:v>200</x:v>
      </x:c>
      <x:c r="F318" s="17" t="n">
        <x:v>232381.44</x:v>
      </x:c>
      <x:c r="G318" s="17" t="n">
        <x:v>9166.16</x:v>
      </x:c>
      <x:c r="H318" s="17" t="n">
        <x:v>5344.77</x:v>
      </x:c>
      <x:c r="I318" s="17" t="n">
        <x:v>217870.51</x:v>
      </x:c>
      <x:c r="J318" s="17" t="n">
        <x:v>132439.97</x:v>
      </x:c>
      <x:c r="K318" s="17" t="n">
        <x:v>14379.45</x:v>
      </x:c>
      <x:c r="L318" s="17" t="n">
        <x:v>5228.89</x:v>
      </x:c>
      <x:c r="M318" s="17" t="n">
        <x:v>16340.29</x:v>
      </x:c>
      <x:c r="N318" s="16" t="n">
        <x:v>104</x:v>
      </x:c>
      <x:c r="O318" s="16" t="n">
        <x:v>29</x:v>
      </x:c>
      <x:c r="P318" s="16" t="n">
        <x:v>6</x:v>
      </x:c>
      <x:c r="Q318" s="16" t="n">
        <x:v>64</x:v>
      </x:c>
      <x:c r="R318" s="16" t="n">
        <x:v>37</x:v>
      </x:c>
      <x:c r="S318" s="16" t="n">
        <x:v>13</x:v>
      </x:c>
      <x:c r="T318" s="15" t="n">
        <x:f>YEAR(A318)</x:f>
        <x:v>2025</x:v>
      </x:c>
      <x:c r="U318" s="15" t="n">
        <x:f>ROUNDUP(MONTH(A318)/3,0)</x:f>
        <x:v>1</x:v>
      </x:c>
      <x:c r="V318" s="18" t="n">
        <x:f>I318-J318</x:f>
        <x:v>85430.54000000001</x:v>
      </x:c>
      <x:c r="W318" s="19" t="n">
        <x:f>IF(I318=0,"",V318/I318)</x:f>
        <x:v>0.39211612438966614</x:v>
      </x:c>
      <x:c r="X318" s="18" t="n">
        <x:f>I318-J318-K318-L318-M318</x:f>
        <x:v>49481.91000000001</x:v>
      </x:c>
      <x:c r="Y318" s="19" t="n">
        <x:f>IF(I318=0,"",X318/I318)</x:f>
        <x:v>0.22711614343767778</x:v>
      </x:c>
      <x:c r="Z318" s="18" t="n">
        <x:f>IF(E318=0,"",F318/E318)</x:f>
        <x:v>1161.9072</x:v>
      </x:c>
      <x:c r="AA318" s="18" t="n">
        <x:f>IF(N318=0,"",M318/N318)</x:f>
        <x:v>157.11817307692309</x:v>
      </x:c>
      <x:c r="AB318" s="19" t="n">
        <x:f>IF(E318=0,"",O318/E318)</x:f>
        <x:v>0.145</x:v>
      </x:c>
      <x:c r="AC318" s="19" t="n">
        <x:f>IF(E318=0,"",P318/E318)</x:f>
        <x:v>0.03</x:v>
      </x:c>
      <x:c r="AD318" s="20" t="n">
        <x:f>IF(Q318=0,"",100*(R318-S318)/Q318)</x:f>
        <x:v>37.5</x:v>
      </x:c>
      <x:c r="AE318" s="19" t="n">
        <x:f>IF(F318=0,"",G318/F318)</x:f>
        <x:v>0.03944445821490735</x:v>
      </x:c>
      <x:c r="AF318" s="18" t="n">
        <x:f>ROUND(I318-(F318-G318-H318),2)</x:f>
        <x:v>0</x:v>
      </x:c>
    </x:row>
    <x:row r="319" ht="24" customHeight="1">
      <x:c r="A319" s="14" t="n">
        <x:v>45717</x:v>
      </x:c>
      <x:c r="B319" s="2" t="str">
        <x:v>E-commerce</x:v>
      </x:c>
      <x:c r="C319" s="2" t="str">
        <x:v>Nordeste</x:v>
      </x:c>
      <x:c r="D319" s="2" t="str">
        <x:v>M-0314</x:v>
      </x:c>
      <x:c r="E319" s="16" t="n">
        <x:v>134</x:v>
      </x:c>
      <x:c r="F319" s="17" t="n">
        <x:v>156238.01</x:v>
      </x:c>
      <x:c r="G319" s="17" t="n">
        <x:v>6162.72</x:v>
      </x:c>
      <x:c r="H319" s="17" t="n">
        <x:v>3593.47</x:v>
      </x:c>
      <x:c r="I319" s="17" t="n">
        <x:v>146481.82</x:v>
      </x:c>
      <x:c r="J319" s="17" t="n">
        <x:v>88411.27</x:v>
      </x:c>
      <x:c r="K319" s="17" t="n">
        <x:v>9667.8</x:v>
      </x:c>
      <x:c r="L319" s="17" t="n">
        <x:v>3515.56</x:v>
      </x:c>
      <x:c r="M319" s="17" t="n">
        <x:v>10986.14</x:v>
      </x:c>
      <x:c r="N319" s="16" t="n">
        <x:v>70</x:v>
      </x:c>
      <x:c r="O319" s="16" t="n">
        <x:v>19</x:v>
      </x:c>
      <x:c r="P319" s="16" t="n">
        <x:v>4</x:v>
      </x:c>
      <x:c r="Q319" s="16" t="n">
        <x:v>43</x:v>
      </x:c>
      <x:c r="R319" s="16" t="n">
        <x:v>25</x:v>
      </x:c>
      <x:c r="S319" s="16" t="n">
        <x:v>9</x:v>
      </x:c>
      <x:c r="T319" s="15" t="n">
        <x:f>YEAR(A319)</x:f>
        <x:v>2025</x:v>
      </x:c>
      <x:c r="U319" s="15" t="n">
        <x:f>ROUNDUP(MONTH(A319)/3,0)</x:f>
        <x:v>1</x:v>
      </x:c>
      <x:c r="V319" s="18" t="n">
        <x:f>I319-J319</x:f>
        <x:v>58070.55</x:v>
      </x:c>
      <x:c r="W319" s="19" t="n">
        <x:f>IF(I319=0,"",V319/I319)</x:f>
        <x:v>0.3964352026756631</x:v>
      </x:c>
      <x:c r="X319" s="18" t="n">
        <x:f>I319-J319-K319-L319-M319</x:f>
        <x:v>33901.05</x:v>
      </x:c>
      <x:c r="Y319" s="19" t="n">
        <x:f>IF(I319=0,"",X319/I319)</x:f>
        <x:v>0.23143520472369883</x:v>
      </x:c>
      <x:c r="Z319" s="18" t="n">
        <x:f>IF(E319=0,"",F319/E319)</x:f>
        <x:v>1165.9552985074627</x:v>
      </x:c>
      <x:c r="AA319" s="18" t="n">
        <x:f>IF(N319=0,"",M319/N319)</x:f>
        <x:v>156.94485714285713</x:v>
      </x:c>
      <x:c r="AB319" s="19" t="n">
        <x:f>IF(E319=0,"",O319/E319)</x:f>
        <x:v>0.1417910447761194</x:v>
      </x:c>
      <x:c r="AC319" s="19" t="n">
        <x:f>IF(E319=0,"",P319/E319)</x:f>
        <x:v>0.029850746268656716</x:v>
      </x:c>
      <x:c r="AD319" s="20" t="n">
        <x:f>IF(Q319=0,"",100*(R319-S319)/Q319)</x:f>
        <x:v>37.2093023255814</x:v>
      </x:c>
      <x:c r="AE319" s="19" t="n">
        <x:f>IF(F319=0,"",G319/F319)</x:f>
        <x:v>0.03944443480814944</x:v>
      </x:c>
      <x:c r="AF319" s="18" t="n">
        <x:f>ROUND(I319-(F319-G319-H319),2)</x:f>
        <x:v>0</x:v>
      </x:c>
    </x:row>
    <x:row r="320" ht="24" customHeight="1">
      <x:c r="A320" s="14" t="n">
        <x:v>45717</x:v>
      </x:c>
      <x:c r="B320" s="2" t="str">
        <x:v>E-commerce</x:v>
      </x:c>
      <x:c r="C320" s="2" t="str">
        <x:v>Sul</x:v>
      </x:c>
      <x:c r="D320" s="2" t="str">
        <x:v>M-0315</x:v>
      </x:c>
      <x:c r="E320" s="16" t="n">
        <x:v>103</x:v>
      </x:c>
      <x:c r="F320" s="17" t="n">
        <x:v>120117.96</x:v>
      </x:c>
      <x:c r="G320" s="17" t="n">
        <x:v>4737.99</x:v>
      </x:c>
      <x:c r="H320" s="17" t="n">
        <x:v>2762.71</x:v>
      </x:c>
      <x:c r="I320" s="17" t="n">
        <x:v>112617.26</x:v>
      </x:c>
      <x:c r="J320" s="17" t="n">
        <x:v>69314.04</x:v>
      </x:c>
      <x:c r="K320" s="17" t="n">
        <x:v>7432.74</x:v>
      </x:c>
      <x:c r="L320" s="17" t="n">
        <x:v>2702.81</x:v>
      </x:c>
      <x:c r="M320" s="17" t="n">
        <x:v>8446.29</x:v>
      </x:c>
      <x:c r="N320" s="16" t="n">
        <x:v>54</x:v>
      </x:c>
      <x:c r="O320" s="16" t="n">
        <x:v>15</x:v>
      </x:c>
      <x:c r="P320" s="16" t="n">
        <x:v>3</x:v>
      </x:c>
      <x:c r="Q320" s="16" t="n">
        <x:v>33</x:v>
      </x:c>
      <x:c r="R320" s="16" t="n">
        <x:v>19</x:v>
      </x:c>
      <x:c r="S320" s="16" t="n">
        <x:v>7</x:v>
      </x:c>
      <x:c r="T320" s="15" t="n">
        <x:f>YEAR(A320)</x:f>
        <x:v>2025</x:v>
      </x:c>
      <x:c r="U320" s="15" t="n">
        <x:f>ROUNDUP(MONTH(A320)/3,0)</x:f>
        <x:v>1</x:v>
      </x:c>
      <x:c r="V320" s="18" t="n">
        <x:f>I320-J320</x:f>
        <x:v>43303.22</x:v>
      </x:c>
      <x:c r="W320" s="19" t="n">
        <x:f>IF(I320=0,"",V320/I320)</x:f>
        <x:v>0.384516725056177</x:v>
      </x:c>
      <x:c r="X320" s="18" t="n">
        <x:f>I320-J320-K320-L320-M320</x:f>
        <x:v>24721.380000000005</x:v>
      </x:c>
      <x:c r="Y320" s="19" t="n">
        <x:f>IF(I320=0,"",X320/I320)</x:f>
        <x:v>0.21951679520528208</x:v>
      </x:c>
      <x:c r="Z320" s="18" t="n">
        <x:f>IF(E320=0,"",F320/E320)</x:f>
        <x:v>1166.193786407767</x:v>
      </x:c>
      <x:c r="AA320" s="18" t="n">
        <x:f>IF(N320=0,"",M320/N320)</x:f>
        <x:v>156.4127777777778</x:v>
      </x:c>
      <x:c r="AB320" s="19" t="n">
        <x:f>IF(E320=0,"",O320/E320)</x:f>
        <x:v>0.14563106796116504</x:v>
      </x:c>
      <x:c r="AC320" s="19" t="n">
        <x:f>IF(E320=0,"",P320/E320)</x:f>
        <x:v>0.02912621359223301</x:v>
      </x:c>
      <x:c r="AD320" s="20" t="n">
        <x:f>IF(Q320=0,"",100*(R320-S320)/Q320)</x:f>
        <x:v>36.36363636363637</x:v>
      </x:c>
      <x:c r="AE320" s="19" t="n">
        <x:f>IF(F320=0,"",G320/F320)</x:f>
        <x:v>0.03944447608001334</x:v>
      </x:c>
      <x:c r="AF320" s="18" t="n">
        <x:f>ROUND(I320-(F320-G320-H320),2)</x:f>
        <x:v>0</x:v>
      </x:c>
    </x:row>
    <x:row r="321" ht="24" customHeight="1">
      <x:c r="A321" s="14" t="n">
        <x:v>45717</x:v>
      </x:c>
      <x:c r="B321" s="2" t="str">
        <x:v>E-commerce</x:v>
      </x:c>
      <x:c r="C321" s="2" t="str">
        <x:v>Centro-Oeste</x:v>
      </x:c>
      <x:c r="D321" s="2" t="str">
        <x:v>M-0316</x:v>
      </x:c>
      <x:c r="E321" s="16" t="n">
        <x:v>89</x:v>
      </x:c>
      <x:c r="F321" s="17" t="n">
        <x:v>102957.76</x:v>
      </x:c>
      <x:c r="G321" s="17" t="n">
        <x:v>4061.11</x:v>
      </x:c>
      <x:c r="H321" s="17" t="n">
        <x:v>2368.03</x:v>
      </x:c>
      <x:c r="I321" s="17" t="n">
        <x:v>96528.62</x:v>
      </x:c>
      <x:c r="J321" s="17" t="n">
        <x:v>55990.91</x:v>
      </x:c>
      <x:c r="K321" s="17" t="n">
        <x:v>6370.89</x:v>
      </x:c>
      <x:c r="L321" s="17" t="n">
        <x:v>2316.69</x:v>
      </x:c>
      <x:c r="M321" s="17" t="n">
        <x:v>7239.65</x:v>
      </x:c>
      <x:c r="N321" s="16" t="n">
        <x:v>46</x:v>
      </x:c>
      <x:c r="O321" s="16" t="n">
        <x:v>13</x:v>
      </x:c>
      <x:c r="P321" s="16" t="n">
        <x:v>3</x:v>
      </x:c>
      <x:c r="Q321" s="16" t="n">
        <x:v>28</x:v>
      </x:c>
      <x:c r="R321" s="16" t="n">
        <x:v>16</x:v>
      </x:c>
      <x:c r="S321" s="16" t="n">
        <x:v>6</x:v>
      </x:c>
      <x:c r="T321" s="15" t="n">
        <x:f>YEAR(A321)</x:f>
        <x:v>2025</x:v>
      </x:c>
      <x:c r="U321" s="15" t="n">
        <x:f>ROUNDUP(MONTH(A321)/3,0)</x:f>
        <x:v>1</x:v>
      </x:c>
      <x:c r="V321" s="18" t="n">
        <x:f>I321-J321</x:f>
        <x:v>40537.70999999999</x:v>
      </x:c>
      <x:c r="W321" s="19" t="n">
        <x:f>IF(I321=0,"",V321/I321)</x:f>
        <x:v>0.419955345886018</x:v>
      </x:c>
      <x:c r="X321" s="18" t="n">
        <x:f>I321-J321-K321-L321-M321</x:f>
        <x:v>24610.479999999996</x:v>
      </x:c>
      <x:c r="Y321" s="19" t="n">
        <x:f>IF(I321=0,"",X321/I321)</x:f>
        <x:v>0.25495526611692987</x:v>
      </x:c>
      <x:c r="Z321" s="18" t="n">
        <x:f>IF(E321=0,"",F321/E321)</x:f>
        <x:v>1156.8287640449437</x:v>
      </x:c>
      <x:c r="AA321" s="18" t="n">
        <x:f>IF(N321=0,"",M321/N321)</x:f>
        <x:v>157.3836956521739</x:v>
      </x:c>
      <x:c r="AB321" s="19" t="n">
        <x:f>IF(E321=0,"",O321/E321)</x:f>
        <x:v>0.14606741573033707</x:v>
      </x:c>
      <x:c r="AC321" s="19" t="n">
        <x:f>IF(E321=0,"",P321/E321)</x:f>
        <x:v>0.033707865168539325</x:v>
      </x:c>
      <x:c r="AD321" s="20" t="n">
        <x:f>IF(Q321=0,"",100*(R321-S321)/Q321)</x:f>
        <x:v>35.714285714285715</x:v>
      </x:c>
      <x:c r="AE321" s="19" t="n">
        <x:f>IF(F321=0,"",G321/F321)</x:f>
        <x:v>0.03944442847241432</x:v>
      </x:c>
      <x:c r="AF321" s="18" t="n">
        <x:f>ROUND(I321-(F321-G321-H321),2)</x:f>
        <x:v>0</x:v>
      </x:c>
    </x:row>
    <x:row r="322" ht="24" customHeight="1">
      <x:c r="A322" s="14" t="n">
        <x:v>45717</x:v>
      </x:c>
      <x:c r="B322" s="2" t="str">
        <x:v>Lojas</x:v>
      </x:c>
      <x:c r="C322" s="2" t="str">
        <x:v>Sudeste</x:v>
      </x:c>
      <x:c r="D322" s="2" t="str">
        <x:v>M-0317</x:v>
      </x:c>
      <x:c r="E322" s="16" t="n">
        <x:v>178</x:v>
      </x:c>
      <x:c r="F322" s="17" t="n">
        <x:v>207041.81</x:v>
      </x:c>
      <x:c r="G322" s="17" t="n">
        <x:v>8166.65</x:v>
      </x:c>
      <x:c r="H322" s="17" t="n">
        <x:v>4761.96</x:v>
      </x:c>
      <x:c r="I322" s="17" t="n">
        <x:v>194113.2</x:v>
      </x:c>
      <x:c r="J322" s="17" t="n">
        <x:v>115244.44</x:v>
      </x:c>
      <x:c r="K322" s="17" t="n">
        <x:v>8735.09</x:v>
      </x:c>
      <x:c r="L322" s="17" t="n">
        <x:v>4658.72</x:v>
      </x:c>
      <x:c r="M322" s="17" t="n">
        <x:v>3494.04</x:v>
      </x:c>
      <x:c r="N322" s="16" t="n">
        <x:v>50</x:v>
      </x:c>
      <x:c r="O322" s="16" t="n">
        <x:v>26</x:v>
      </x:c>
      <x:c r="P322" s="16" t="n">
        <x:v>6</x:v>
      </x:c>
      <x:c r="Q322" s="16" t="n">
        <x:v>57</x:v>
      </x:c>
      <x:c r="R322" s="16" t="n">
        <x:v>33</x:v>
      </x:c>
      <x:c r="S322" s="16" t="n">
        <x:v>12</x:v>
      </x:c>
      <x:c r="T322" s="15" t="n">
        <x:f>YEAR(A322)</x:f>
        <x:v>2025</x:v>
      </x:c>
      <x:c r="U322" s="15" t="n">
        <x:f>ROUNDUP(MONTH(A322)/3,0)</x:f>
        <x:v>1</x:v>
      </x:c>
      <x:c r="V322" s="18" t="n">
        <x:f>I322-J322</x:f>
        <x:v>78868.76000000001</x:v>
      </x:c>
      <x:c r="W322" s="19" t="n">
        <x:f>IF(I322=0,"",V322/I322)</x:f>
        <x:v>0.4063029201517465</x:v>
      </x:c>
      <x:c r="X322" s="18" t="n">
        <x:f>I322-J322-K322-L322-M322</x:f>
        <x:v>61980.91000000001</x:v>
      </x:c>
      <x:c r="Y322" s="19" t="n">
        <x:f>IF(I322=0,"",X322/I322)</x:f>
        <x:v>0.31930291190913346</x:v>
      </x:c>
      <x:c r="Z322" s="18" t="n">
        <x:f>IF(E322=0,"",F322/E322)</x:f>
        <x:v>1163.1562359550562</x:v>
      </x:c>
      <x:c r="AA322" s="18" t="n">
        <x:f>IF(N322=0,"",M322/N322)</x:f>
        <x:v>69.8808</x:v>
      </x:c>
      <x:c r="AB322" s="19" t="n">
        <x:f>IF(E322=0,"",O322/E322)</x:f>
        <x:v>0.14606741573033707</x:v>
      </x:c>
      <x:c r="AC322" s="19" t="n">
        <x:f>IF(E322=0,"",P322/E322)</x:f>
        <x:v>0.033707865168539325</x:v>
      </x:c>
      <x:c r="AD322" s="20" t="n">
        <x:f>IF(Q322=0,"",100*(R322-S322)/Q322)</x:f>
        <x:v>36.8421052631579</x:v>
      </x:c>
      <x:c r="AE322" s="19" t="n">
        <x:f>IF(F322=0,"",G322/F322)</x:f>
        <x:v>0.03944444844256336</x:v>
      </x:c>
      <x:c r="AF322" s="18" t="n">
        <x:f>ROUND(I322-(F322-G322-H322),2)</x:f>
        <x:v>0</x:v>
      </x:c>
    </x:row>
    <x:row r="323" ht="24" customHeight="1">
      <x:c r="A323" s="14" t="n">
        <x:v>45717</x:v>
      </x:c>
      <x:c r="B323" s="2" t="str">
        <x:v>Lojas</x:v>
      </x:c>
      <x:c r="C323" s="2" t="str">
        <x:v>Nordeste</x:v>
      </x:c>
      <x:c r="D323" s="2" t="str">
        <x:v>M-0318</x:v>
      </x:c>
      <x:c r="E323" s="16" t="n">
        <x:v>100</x:v>
      </x:c>
      <x:c r="F323" s="17" t="n">
        <x:v>115663.98</x:v>
      </x:c>
      <x:c r="G323" s="17" t="n">
        <x:v>4562.3</x:v>
      </x:c>
      <x:c r="H323" s="17" t="n">
        <x:v>2660.27</x:v>
      </x:c>
      <x:c r="I323" s="17" t="n">
        <x:v>108441.41</x:v>
      </x:c>
      <x:c r="J323" s="17" t="n">
        <x:v>65320.68</x:v>
      </x:c>
      <x:c r="K323" s="17" t="n">
        <x:v>4879.86</x:v>
      </x:c>
      <x:c r="L323" s="17" t="n">
        <x:v>2602.59</x:v>
      </x:c>
      <x:c r="M323" s="17" t="n">
        <x:v>1951.95</x:v>
      </x:c>
      <x:c r="N323" s="16" t="n">
        <x:v>28</x:v>
      </x:c>
      <x:c r="O323" s="16" t="n">
        <x:v>14</x:v>
      </x:c>
      <x:c r="P323" s="16" t="n">
        <x:v>3</x:v>
      </x:c>
      <x:c r="Q323" s="16" t="n">
        <x:v>32</x:v>
      </x:c>
      <x:c r="R323" s="16" t="n">
        <x:v>19</x:v>
      </x:c>
      <x:c r="S323" s="16" t="n">
        <x:v>7</x:v>
      </x:c>
      <x:c r="T323" s="15" t="n">
        <x:f>YEAR(A323)</x:f>
        <x:v>2025</x:v>
      </x:c>
      <x:c r="U323" s="15" t="n">
        <x:f>ROUNDUP(MONTH(A323)/3,0)</x:f>
        <x:v>1</x:v>
      </x:c>
      <x:c r="V323" s="18" t="n">
        <x:f>I323-J323</x:f>
        <x:v>43120.73</x:v>
      </x:c>
      <x:c r="W323" s="19" t="n">
        <x:f>IF(I323=0,"",V323/I323)</x:f>
        <x:v>0.3976408089861613</x:v>
      </x:c>
      <x:c r="X323" s="18" t="n">
        <x:f>I323-J323-K323-L323-M323</x:f>
        <x:v>33686.33</x:v>
      </x:c>
      <x:c r="Y323" s="19" t="n">
        <x:f>IF(I323=0,"",X323/I323)</x:f>
        <x:v>0.31064083360775185</x:v>
      </x:c>
      <x:c r="Z323" s="18" t="n">
        <x:f>IF(E323=0,"",F323/E323)</x:f>
        <x:v>1156.6398</x:v>
      </x:c>
      <x:c r="AA323" s="18" t="n">
        <x:f>IF(N323=0,"",M323/N323)</x:f>
        <x:v>69.7125</x:v>
      </x:c>
      <x:c r="AB323" s="19" t="n">
        <x:f>IF(E323=0,"",O323/E323)</x:f>
        <x:v>0.14</x:v>
      </x:c>
      <x:c r="AC323" s="19" t="n">
        <x:f>IF(E323=0,"",P323/E323)</x:f>
        <x:v>0.03</x:v>
      </x:c>
      <x:c r="AD323" s="20" t="n">
        <x:f>IF(Q323=0,"",100*(R323-S323)/Q323)</x:f>
        <x:v>37.5</x:v>
      </x:c>
      <x:c r="AE323" s="19" t="n">
        <x:f>IF(F323=0,"",G323/F323)</x:f>
        <x:v>0.03944443205222577</x:v>
      </x:c>
      <x:c r="AF323" s="18" t="n">
        <x:f>ROUND(I323-(F323-G323-H323),2)</x:f>
        <x:v>0</x:v>
      </x:c>
    </x:row>
    <x:row r="324" ht="24" customHeight="1">
      <x:c r="A324" s="14" t="n">
        <x:v>45717</x:v>
      </x:c>
      <x:c r="B324" s="2" t="str">
        <x:v>Lojas</x:v>
      </x:c>
      <x:c r="C324" s="2" t="str">
        <x:v>Sul</x:v>
      </x:c>
      <x:c r="D324" s="2" t="str">
        <x:v>M-0319</x:v>
      </x:c>
      <x:c r="E324" s="16" t="n">
        <x:v>93</x:v>
      </x:c>
      <x:c r="F324" s="17" t="n">
        <x:v>108344.72</x:v>
      </x:c>
      <x:c r="G324" s="17" t="n">
        <x:v>4273.6</x:v>
      </x:c>
      <x:c r="H324" s="17" t="n">
        <x:v>2491.93</x:v>
      </x:c>
      <x:c r="I324" s="17" t="n">
        <x:v>101579.19</x:v>
      </x:c>
      <x:c r="J324" s="17" t="n">
        <x:v>60379.81</x:v>
      </x:c>
      <x:c r="K324" s="17" t="n">
        <x:v>4571.06</x:v>
      </x:c>
      <x:c r="L324" s="17" t="n">
        <x:v>2437.9</x:v>
      </x:c>
      <x:c r="M324" s="17" t="n">
        <x:v>1828.43</x:v>
      </x:c>
      <x:c r="N324" s="16" t="n">
        <x:v>26</x:v>
      </x:c>
      <x:c r="O324" s="16" t="n">
        <x:v>13</x:v>
      </x:c>
      <x:c r="P324" s="16" t="n">
        <x:v>3</x:v>
      </x:c>
      <x:c r="Q324" s="16" t="n">
        <x:v>30</x:v>
      </x:c>
      <x:c r="R324" s="16" t="n">
        <x:v>18</x:v>
      </x:c>
      <x:c r="S324" s="16" t="n">
        <x:v>6</x:v>
      </x:c>
      <x:c r="T324" s="15" t="n">
        <x:f>YEAR(A324)</x:f>
        <x:v>2025</x:v>
      </x:c>
      <x:c r="U324" s="15" t="n">
        <x:f>ROUNDUP(MONTH(A324)/3,0)</x:f>
        <x:v>1</x:v>
      </x:c>
      <x:c r="V324" s="18" t="n">
        <x:f>I324-J324</x:f>
        <x:v>41199.380000000005</x:v>
      </x:c>
      <x:c r="W324" s="19" t="n">
        <x:f>IF(I324=0,"",V324/I324)</x:f>
        <x:v>0.40558878250555064</x:v>
      </x:c>
      <x:c r="X324" s="18" t="n">
        <x:f>I324-J324-K324-L324-M324</x:f>
        <x:v>32361.990000000005</x:v>
      </x:c>
      <x:c r="Y324" s="19" t="n">
        <x:f>IF(I324=0,"",X324/I324)</x:f>
        <x:v>0.31858877787861867</x:v>
      </x:c>
      <x:c r="Z324" s="18" t="n">
        <x:f>IF(E324=0,"",F324/E324)</x:f>
        <x:v>1164.9969892473118</x:v>
      </x:c>
      <x:c r="AA324" s="18" t="n">
        <x:f>IF(N324=0,"",M324/N324)</x:f>
        <x:v>70.32423076923077</x:v>
      </x:c>
      <x:c r="AB324" s="19" t="n">
        <x:f>IF(E324=0,"",O324/E324)</x:f>
        <x:v>0.13978494623655913</x:v>
      </x:c>
      <x:c r="AC324" s="19" t="n">
        <x:f>IF(E324=0,"",P324/E324)</x:f>
        <x:v>0.03225806451612903</x:v>
      </x:c>
      <x:c r="AD324" s="20" t="n">
        <x:f>IF(Q324=0,"",100*(R324-S324)/Q324)</x:f>
        <x:v>40</x:v>
      </x:c>
      <x:c r="AE324" s="19" t="n">
        <x:f>IF(F324=0,"",G324/F324)</x:f>
        <x:v>0.03944446946745536</x:v>
      </x:c>
      <x:c r="AF324" s="18" t="n">
        <x:f>ROUND(I324-(F324-G324-H324),2)</x:f>
        <x:v>0</x:v>
      </x:c>
    </x:row>
    <x:row r="325" ht="24" customHeight="1">
      <x:c r="A325" s="14" t="n">
        <x:v>45717</x:v>
      </x:c>
      <x:c r="B325" s="2" t="str">
        <x:v>Lojas</x:v>
      </x:c>
      <x:c r="C325" s="2" t="str">
        <x:v>Centro-Oeste</x:v>
      </x:c>
      <x:c r="D325" s="2" t="str">
        <x:v>M-0320</x:v>
      </x:c>
      <x:c r="E325" s="16" t="n">
        <x:v>75</x:v>
      </x:c>
      <x:c r="F325" s="17" t="n">
        <x:v>87280.14</x:v>
      </x:c>
      <x:c r="G325" s="17" t="n">
        <x:v>3442.72</x:v>
      </x:c>
      <x:c r="H325" s="17" t="n">
        <x:v>2007.44</x:v>
      </x:c>
      <x:c r="I325" s="17" t="n">
        <x:v>81829.98</x:v>
      </x:c>
      <x:c r="J325" s="17" t="n">
        <x:v>48579.5</x:v>
      </x:c>
      <x:c r="K325" s="17" t="n">
        <x:v>3682.35</x:v>
      </x:c>
      <x:c r="L325" s="17" t="n">
        <x:v>1963.92</x:v>
      </x:c>
      <x:c r="M325" s="17" t="n">
        <x:v>1472.94</x:v>
      </x:c>
      <x:c r="N325" s="16" t="n">
        <x:v>21</x:v>
      </x:c>
      <x:c r="O325" s="16" t="n">
        <x:v>11</x:v>
      </x:c>
      <x:c r="P325" s="16" t="n">
        <x:v>2</x:v>
      </x:c>
      <x:c r="Q325" s="16" t="n">
        <x:v>24</x:v>
      </x:c>
      <x:c r="R325" s="16" t="n">
        <x:v>14</x:v>
      </x:c>
      <x:c r="S325" s="16" t="n">
        <x:v>5</x:v>
      </x:c>
      <x:c r="T325" s="15" t="n">
        <x:f>YEAR(A325)</x:f>
        <x:v>2025</x:v>
      </x:c>
      <x:c r="U325" s="15" t="n">
        <x:f>ROUNDUP(MONTH(A325)/3,0)</x:f>
        <x:v>1</x:v>
      </x:c>
      <x:c r="V325" s="18" t="n">
        <x:f>I325-J325</x:f>
        <x:v>33250.479999999996</x:v>
      </x:c>
      <x:c r="W325" s="19" t="n">
        <x:f>IF(I325=0,"",V325/I325)</x:f>
        <x:v>0.4063361618810123</x:v>
      </x:c>
      <x:c r="X325" s="18" t="n">
        <x:f>I325-J325-K325-L325-M325</x:f>
        <x:v>26131.27</x:v>
      </x:c>
      <x:c r="Y325" s="19" t="n">
        <x:f>IF(I325=0,"",X325/I325)</x:f>
        <x:v>0.3193361406174119</x:v>
      </x:c>
      <x:c r="Z325" s="18" t="n">
        <x:f>IF(E325=0,"",F325/E325)</x:f>
        <x:v>1163.7352</x:v>
      </x:c>
      <x:c r="AA325" s="18" t="n">
        <x:f>IF(N325=0,"",M325/N325)</x:f>
        <x:v>70.14</x:v>
      </x:c>
      <x:c r="AB325" s="19" t="n">
        <x:f>IF(E325=0,"",O325/E325)</x:f>
        <x:v>0.14666666666666667</x:v>
      </x:c>
      <x:c r="AC325" s="19" t="n">
        <x:f>IF(E325=0,"",P325/E325)</x:f>
        <x:v>0.02666666666666667</x:v>
      </x:c>
      <x:c r="AD325" s="20" t="n">
        <x:f>IF(Q325=0,"",100*(R325-S325)/Q325)</x:f>
        <x:v>37.5</x:v>
      </x:c>
      <x:c r="AE325" s="19" t="n">
        <x:f>IF(F325=0,"",G325/F325)</x:f>
        <x:v>0.03944448301755703</x:v>
      </x:c>
      <x:c r="AF325" s="18" t="n">
        <x:f>ROUND(I325-(F325-G325-H325),2)</x:f>
        <x:v>0</x:v>
      </x:c>
    </x:row>
    <x:row r="326" ht="24" customHeight="1">
      <x:c r="A326" s="14" t="n">
        <x:v>45717</x:v>
      </x:c>
      <x:c r="B326" s="2" t="str">
        <x:v>B2B</x:v>
      </x:c>
      <x:c r="C326" s="2" t="str">
        <x:v>Sudeste</x:v>
      </x:c>
      <x:c r="D326" s="2" t="str">
        <x:v>M-0321</x:v>
      </x:c>
      <x:c r="E326" s="16" t="n">
        <x:v>103</x:v>
      </x:c>
      <x:c r="F326" s="17" t="n">
        <x:v>119652.82</x:v>
      </x:c>
      <x:c r="G326" s="17" t="n">
        <x:v>4719.64</x:v>
      </x:c>
      <x:c r="H326" s="17" t="n">
        <x:v>2752.01</x:v>
      </x:c>
      <x:c r="I326" s="17" t="n">
        <x:v>112181.17</x:v>
      </x:c>
      <x:c r="J326" s="17" t="n">
        <x:v>66121.88</x:v>
      </x:c>
      <x:c r="K326" s="17" t="n">
        <x:v>5048.15</x:v>
      </x:c>
      <x:c r="L326" s="17" t="n">
        <x:v>2692.35</x:v>
      </x:c>
      <x:c r="M326" s="17" t="n">
        <x:v>2019.26</x:v>
      </x:c>
      <x:c r="N326" s="16" t="n">
        <x:v>29</x:v>
      </x:c>
      <x:c r="O326" s="16" t="n">
        <x:v>15</x:v>
      </x:c>
      <x:c r="P326" s="16" t="n">
        <x:v>3</x:v>
      </x:c>
      <x:c r="Q326" s="16" t="n">
        <x:v>33</x:v>
      </x:c>
      <x:c r="R326" s="16" t="n">
        <x:v>19</x:v>
      </x:c>
      <x:c r="S326" s="16" t="n">
        <x:v>7</x:v>
      </x:c>
      <x:c r="T326" s="15" t="n">
        <x:f>YEAR(A326)</x:f>
        <x:v>2025</x:v>
      </x:c>
      <x:c r="U326" s="15" t="n">
        <x:f>ROUNDUP(MONTH(A326)/3,0)</x:f>
        <x:v>1</x:v>
      </x:c>
      <x:c r="V326" s="18" t="n">
        <x:f>I326-J326</x:f>
        <x:v>46059.28999999999</x:v>
      </x:c>
      <x:c r="W326" s="19" t="n">
        <x:f>IF(I326=0,"",V326/I326)</x:f>
        <x:v>0.41057951169523366</x:v>
      </x:c>
      <x:c r="X326" s="18" t="n">
        <x:f>I326-J326-K326-L326-M326</x:f>
        <x:v>36299.52999999999</x:v>
      </x:c>
      <x:c r="Y326" s="19" t="n">
        <x:f>IF(I326=0,"",X326/I326)</x:f>
        <x:v>0.3235795276515657</x:v>
      </x:c>
      <x:c r="Z326" s="18" t="n">
        <x:f>IF(E326=0,"",F326/E326)</x:f>
        <x:v>1161.67786407767</x:v>
      </x:c>
      <x:c r="AA326" s="18" t="n">
        <x:f>IF(N326=0,"",M326/N326)</x:f>
        <x:v>69.62965517241379</x:v>
      </x:c>
      <x:c r="AB326" s="19" t="n">
        <x:f>IF(E326=0,"",O326/E326)</x:f>
        <x:v>0.14563106796116504</x:v>
      </x:c>
      <x:c r="AC326" s="19" t="n">
        <x:f>IF(E326=0,"",P326/E326)</x:f>
        <x:v>0.02912621359223301</x:v>
      </x:c>
      <x:c r="AD326" s="20" t="n">
        <x:f>IF(Q326=0,"",100*(R326-S326)/Q326)</x:f>
        <x:v>36.36363636363637</x:v>
      </x:c>
      <x:c r="AE326" s="19" t="n">
        <x:f>IF(F326=0,"",G326/F326)</x:f>
        <x:v>0.0394444527090962</x:v>
      </x:c>
      <x:c r="AF326" s="18" t="n">
        <x:f>ROUND(I326-(F326-G326-H326),2)</x:f>
        <x:v>0</x:v>
      </x:c>
    </x:row>
    <x:row r="327" ht="24" customHeight="1">
      <x:c r="A327" s="14" t="n">
        <x:v>45717</x:v>
      </x:c>
      <x:c r="B327" s="2" t="str">
        <x:v>B2B</x:v>
      </x:c>
      <x:c r="C327" s="2" t="str">
        <x:v>Nordeste</x:v>
      </x:c>
      <x:c r="D327" s="2" t="str">
        <x:v>M-0322</x:v>
      </x:c>
      <x:c r="E327" s="16" t="n">
        <x:v>73</x:v>
      </x:c>
      <x:c r="F327" s="17" t="n">
        <x:v>84474.56</x:v>
      </x:c>
      <x:c r="G327" s="17" t="n">
        <x:v>3332.05</x:v>
      </x:c>
      <x:c r="H327" s="17" t="n">
        <x:v>1942.91</x:v>
      </x:c>
      <x:c r="I327" s="17" t="n">
        <x:v>79199.6</x:v>
      </x:c>
      <x:c r="J327" s="17" t="n">
        <x:v>46716.86</x:v>
      </x:c>
      <x:c r="K327" s="17" t="n">
        <x:v>3563.98</x:v>
      </x:c>
      <x:c r="L327" s="17" t="n">
        <x:v>1900.79</x:v>
      </x:c>
      <x:c r="M327" s="17" t="n">
        <x:v>1425.59</x:v>
      </x:c>
      <x:c r="N327" s="16" t="n">
        <x:v>20</x:v>
      </x:c>
      <x:c r="O327" s="16" t="n">
        <x:v>11</x:v>
      </x:c>
      <x:c r="P327" s="16" t="n">
        <x:v>2</x:v>
      </x:c>
      <x:c r="Q327" s="16" t="n">
        <x:v>23</x:v>
      </x:c>
      <x:c r="R327" s="16" t="n">
        <x:v>13</x:v>
      </x:c>
      <x:c r="S327" s="16" t="n">
        <x:v>5</x:v>
      </x:c>
      <x:c r="T327" s="15" t="n">
        <x:f>YEAR(A327)</x:f>
        <x:v>2025</x:v>
      </x:c>
      <x:c r="U327" s="15" t="n">
        <x:f>ROUNDUP(MONTH(A327)/3,0)</x:f>
        <x:v>1</x:v>
      </x:c>
      <x:c r="V327" s="18" t="n">
        <x:f>I327-J327</x:f>
        <x:v>32482.740000000005</x:v>
      </x:c>
      <x:c r="W327" s="19" t="n">
        <x:f>IF(I327=0,"",V327/I327)</x:f>
        <x:v>0.41013767746301755</x:v>
      </x:c>
      <x:c r="X327" s="18" t="n">
        <x:f>I327-J327-K327-L327-M327</x:f>
        <x:v>25592.380000000005</x:v>
      </x:c>
      <x:c r="Y327" s="19" t="n">
        <x:f>IF(I327=0,"",X327/I327)</x:f>
        <x:v>0.3231377431199148</x:v>
      </x:c>
      <x:c r="Z327" s="18" t="n">
        <x:f>IF(E327=0,"",F327/E327)</x:f>
        <x:v>1157.1857534246576</x:v>
      </x:c>
      <x:c r="AA327" s="18" t="n">
        <x:f>IF(N327=0,"",M327/N327)</x:f>
        <x:v>71.2795</x:v>
      </x:c>
      <x:c r="AB327" s="19" t="n">
        <x:f>IF(E327=0,"",O327/E327)</x:f>
        <x:v>0.1506849315068493</x:v>
      </x:c>
      <x:c r="AC327" s="19" t="n">
        <x:f>IF(E327=0,"",P327/E327)</x:f>
        <x:v>0.0273972602739726</x:v>
      </x:c>
      <x:c r="AD327" s="20" t="n">
        <x:f>IF(Q327=0,"",100*(R327-S327)/Q327)</x:f>
        <x:v>34.78260869565217</x:v>
      </x:c>
      <x:c r="AE327" s="19" t="n">
        <x:f>IF(F327=0,"",G327/F327)</x:f>
        <x:v>0.03944441971642114</x:v>
      </x:c>
      <x:c r="AF327" s="18" t="n">
        <x:f>ROUND(I327-(F327-G327-H327),2)</x:f>
        <x:v>0</x:v>
      </x:c>
    </x:row>
    <x:row r="328" ht="24" customHeight="1">
      <x:c r="A328" s="14" t="n">
        <x:v>45717</x:v>
      </x:c>
      <x:c r="B328" s="2" t="str">
        <x:v>B2B</x:v>
      </x:c>
      <x:c r="C328" s="2" t="str">
        <x:v>Sul</x:v>
      </x:c>
      <x:c r="D328" s="2" t="str">
        <x:v>M-0323</x:v>
      </x:c>
      <x:c r="E328" s="16" t="n">
        <x:v>55</x:v>
      </x:c>
      <x:c r="F328" s="17" t="n">
        <x:v>64332.1</x:v>
      </x:c>
      <x:c r="G328" s="17" t="n">
        <x:v>2537.54</x:v>
      </x:c>
      <x:c r="H328" s="17" t="n">
        <x:v>1479.64</x:v>
      </x:c>
      <x:c r="I328" s="17" t="n">
        <x:v>60314.92</x:v>
      </x:c>
      <x:c r="J328" s="17" t="n">
        <x:v>37456.65</x:v>
      </x:c>
      <x:c r="K328" s="17" t="n">
        <x:v>2714.17</x:v>
      </x:c>
      <x:c r="L328" s="17" t="n">
        <x:v>1447.56</x:v>
      </x:c>
      <x:c r="M328" s="17" t="n">
        <x:v>1085.67</x:v>
      </x:c>
      <x:c r="N328" s="16" t="n">
        <x:v>15</x:v>
      </x:c>
      <x:c r="O328" s="16" t="n">
        <x:v>8</x:v>
      </x:c>
      <x:c r="P328" s="16" t="n">
        <x:v>2</x:v>
      </x:c>
      <x:c r="Q328" s="16" t="n">
        <x:v>18</x:v>
      </x:c>
      <x:c r="R328" s="16" t="n">
        <x:v>11</x:v>
      </x:c>
      <x:c r="S328" s="16" t="n">
        <x:v>4</x:v>
      </x:c>
      <x:c r="T328" s="15" t="n">
        <x:f>YEAR(A328)</x:f>
        <x:v>2025</x:v>
      </x:c>
      <x:c r="U328" s="15" t="n">
        <x:f>ROUNDUP(MONTH(A328)/3,0)</x:f>
        <x:v>1</x:v>
      </x:c>
      <x:c r="V328" s="18" t="n">
        <x:f>I328-J328</x:f>
        <x:v>22858.269999999997</x:v>
      </x:c>
      <x:c r="W328" s="19" t="n">
        <x:f>IF(I328=0,"",V328/I328)</x:f>
        <x:v>0.3789820163899744</x:v>
      </x:c>
      <x:c r="X328" s="18" t="n">
        <x:f>I328-J328-K328-L328-M328</x:f>
        <x:v>17610.869999999995</x:v>
      </x:c>
      <x:c r="Y328" s="19" t="n">
        <x:f>IF(I328=0,"",X328/I328)</x:f>
        <x:v>0.291981983893869</x:v>
      </x:c>
      <x:c r="Z328" s="18" t="n">
        <x:f>IF(E328=0,"",F328/E328)</x:f>
        <x:v>1169.6745454545455</x:v>
      </x:c>
      <x:c r="AA328" s="18" t="n">
        <x:f>IF(N328=0,"",M328/N328)</x:f>
        <x:v>72.378</x:v>
      </x:c>
      <x:c r="AB328" s="19" t="n">
        <x:f>IF(E328=0,"",O328/E328)</x:f>
        <x:v>0.14545454545454545</x:v>
      </x:c>
      <x:c r="AC328" s="19" t="n">
        <x:f>IF(E328=0,"",P328/E328)</x:f>
        <x:v>0.03636363636363636</x:v>
      </x:c>
      <x:c r="AD328" s="20" t="n">
        <x:f>IF(Q328=0,"",100*(R328-S328)/Q328)</x:f>
        <x:v>38.888888888888886</x:v>
      </x:c>
      <x:c r="AE328" s="19" t="n">
        <x:f>IF(F328=0,"",G328/F328)</x:f>
        <x:v>0.03944438313066106</x:v>
      </x:c>
      <x:c r="AF328" s="18" t="n">
        <x:f>ROUND(I328-(F328-G328-H328),2)</x:f>
        <x:v>0</x:v>
      </x:c>
    </x:row>
    <x:row r="329" ht="24" customHeight="1">
      <x:c r="A329" s="14" t="n">
        <x:v>45717</x:v>
      </x:c>
      <x:c r="B329" s="2" t="str">
        <x:v>B2B</x:v>
      </x:c>
      <x:c r="C329" s="2" t="str">
        <x:v>Centro-Oeste</x:v>
      </x:c>
      <x:c r="D329" s="2" t="str">
        <x:v>M-0324</x:v>
      </x:c>
      <x:c r="E329" s="16" t="n">
        <x:v>48</x:v>
      </x:c>
      <x:c r="F329" s="17" t="n">
        <x:v>56259.94</x:v>
      </x:c>
      <x:c r="G329" s="17" t="n">
        <x:v>2219.14</x:v>
      </x:c>
      <x:c r="H329" s="17" t="n">
        <x:v>1293.98</x:v>
      </x:c>
      <x:c r="I329" s="17" t="n">
        <x:v>52746.82</x:v>
      </x:c>
      <x:c r="J329" s="17" t="n">
        <x:v>32111.88</x:v>
      </x:c>
      <x:c r="K329" s="17" t="n">
        <x:v>2373.61</x:v>
      </x:c>
      <x:c r="L329" s="17" t="n">
        <x:v>1265.92</x:v>
      </x:c>
      <x:c r="M329" s="17" t="n">
        <x:v>949.44</x:v>
      </x:c>
      <x:c r="N329" s="16" t="n">
        <x:v>13</x:v>
      </x:c>
      <x:c r="O329" s="16" t="n">
        <x:v>7</x:v>
      </x:c>
      <x:c r="P329" s="16" t="n">
        <x:v>1</x:v>
      </x:c>
      <x:c r="Q329" s="16" t="n">
        <x:v>15</x:v>
      </x:c>
      <x:c r="R329" s="16" t="n">
        <x:v>9</x:v>
      </x:c>
      <x:c r="S329" s="16" t="n">
        <x:v>3</x:v>
      </x:c>
      <x:c r="T329" s="15" t="n">
        <x:f>YEAR(A329)</x:f>
        <x:v>2025</x:v>
      </x:c>
      <x:c r="U329" s="15" t="n">
        <x:f>ROUNDUP(MONTH(A329)/3,0)</x:f>
        <x:v>1</x:v>
      </x:c>
      <x:c r="V329" s="18" t="n">
        <x:f>I329-J329</x:f>
        <x:v>20634.94</x:v>
      </x:c>
      <x:c r="W329" s="19" t="n">
        <x:f>IF(I329=0,"",V329/I329)</x:f>
        <x:v>0.3912072803630626</x:v>
      </x:c>
      <x:c r="X329" s="18" t="n">
        <x:f>I329-J329-K329-L329-M329</x:f>
        <x:v>16045.969999999996</x:v>
      </x:c>
      <x:c r="Y329" s="19" t="n">
        <x:f>IF(I329=0,"",X329/I329)</x:f>
        <x:v>0.3042073436844154</x:v>
      </x:c>
      <x:c r="Z329" s="18" t="n">
        <x:f>IF(E329=0,"",F329/E329)</x:f>
        <x:v>1172.0820833333335</x:v>
      </x:c>
      <x:c r="AA329" s="18" t="n">
        <x:f>IF(N329=0,"",M329/N329)</x:f>
        <x:v>73.03384615384616</x:v>
      </x:c>
      <x:c r="AB329" s="19" t="n">
        <x:f>IF(E329=0,"",O329/E329)</x:f>
        <x:v>0.14583333333333334</x:v>
      </x:c>
      <x:c r="AC329" s="19" t="n">
        <x:f>IF(E329=0,"",P329/E329)</x:f>
        <x:v>0.020833333333333332</x:v>
      </x:c>
      <x:c r="AD329" s="20" t="n">
        <x:f>IF(Q329=0,"",100*(R329-S329)/Q329)</x:f>
        <x:v>40</x:v>
      </x:c>
      <x:c r="AE329" s="19" t="n">
        <x:f>IF(F329=0,"",G329/F329)</x:f>
        <x:v>0.039444407512699085</x:v>
      </x:c>
      <x:c r="AF329" s="18" t="n">
        <x:f>ROUND(I329-(F329-G329-H329),2)</x:f>
        <x:v>0</x:v>
      </x:c>
    </x:row>
    <x:row r="330" ht="24" customHeight="1">
      <x:c r="A330" s="14" t="n">
        <x:v>45748</x:v>
      </x:c>
      <x:c r="B330" s="2" t="str">
        <x:v>E-commerce</x:v>
      </x:c>
      <x:c r="C330" s="2" t="str">
        <x:v>Sudeste</x:v>
      </x:c>
      <x:c r="D330" s="2" t="str">
        <x:v>M-0325</x:v>
      </x:c>
      <x:c r="E330" s="16" t="n">
        <x:v>212</x:v>
      </x:c>
      <x:c r="F330" s="17" t="n">
        <x:v>246526.22</x:v>
      </x:c>
      <x:c r="G330" s="17" t="n">
        <x:v>9861.05</x:v>
      </x:c>
      <x:c r="H330" s="17" t="n">
        <x:v>5793.37</x:v>
      </x:c>
      <x:c r="I330" s="17" t="n">
        <x:v>230871.8</x:v>
      </x:c>
      <x:c r="J330" s="17" t="n">
        <x:v>139280.29</x:v>
      </x:c>
      <x:c r="K330" s="17" t="n">
        <x:v>15468.41</x:v>
      </x:c>
      <x:c r="L330" s="17" t="n">
        <x:v>5540.92</x:v>
      </x:c>
      <x:c r="M330" s="17" t="n">
        <x:v>17315.38</x:v>
      </x:c>
      <x:c r="N330" s="16" t="n">
        <x:v>110</x:v>
      </x:c>
      <x:c r="O330" s="16" t="n">
        <x:v>31</x:v>
      </x:c>
      <x:c r="P330" s="16" t="n">
        <x:v>7</x:v>
      </x:c>
      <x:c r="Q330" s="16" t="n">
        <x:v>68</x:v>
      </x:c>
      <x:c r="R330" s="16" t="n">
        <x:v>39</x:v>
      </x:c>
      <x:c r="S330" s="16" t="n">
        <x:v>14</x:v>
      </x:c>
      <x:c r="T330" s="15" t="n">
        <x:f>YEAR(A330)</x:f>
        <x:v>2025</x:v>
      </x:c>
      <x:c r="U330" s="15" t="n">
        <x:f>ROUNDUP(MONTH(A330)/3,0)</x:f>
        <x:v>2</x:v>
      </x:c>
      <x:c r="V330" s="18" t="n">
        <x:f>I330-J330</x:f>
        <x:v>91591.50999999998</x:v>
      </x:c>
      <x:c r="W330" s="19" t="n">
        <x:f>IF(I330=0,"",V330/I330)</x:f>
        <x:v>0.3967202144220298</x:v>
      </x:c>
      <x:c r="X330" s="18" t="n">
        <x:f>I330-J330-K330-L330-M330</x:f>
        <x:v>53266.799999999974</x:v>
      </x:c>
      <x:c r="Y330" s="19" t="n">
        <x:f>IF(I330=0,"",X330/I330)</x:f>
        <x:v>0.23072025253842166</x:v>
      </x:c>
      <x:c r="Z330" s="18" t="n">
        <x:f>IF(E330=0,"",F330/E330)</x:f>
        <x:v>1162.8595283018867</x:v>
      </x:c>
      <x:c r="AA330" s="18" t="n">
        <x:f>IF(N330=0,"",M330/N330)</x:f>
        <x:v>157.41254545454547</x:v>
      </x:c>
      <x:c r="AB330" s="19" t="n">
        <x:f>IF(E330=0,"",O330/E330)</x:f>
        <x:v>0.14622641509433962</x:v>
      </x:c>
      <x:c r="AC330" s="19" t="n">
        <x:f>IF(E330=0,"",P330/E330)</x:f>
        <x:v>0.0330188679245283</x:v>
      </x:c>
      <x:c r="AD330" s="20" t="n">
        <x:f>IF(Q330=0,"",100*(R330-S330)/Q330)</x:f>
        <x:v>36.76470588235294</x:v>
      </x:c>
      <x:c r="AE330" s="19" t="n">
        <x:f>IF(F330=0,"",G330/F330)</x:f>
        <x:v>0.04000000486763639</x:v>
      </x:c>
      <x:c r="AF330" s="18" t="n">
        <x:f>ROUND(I330-(F330-G330-H330),2)</x:f>
        <x:v>0</x:v>
      </x:c>
    </x:row>
    <x:row r="331" ht="24" customHeight="1">
      <x:c r="A331" s="14" t="n">
        <x:v>45748</x:v>
      </x:c>
      <x:c r="B331" s="2" t="str">
        <x:v>E-commerce</x:v>
      </x:c>
      <x:c r="C331" s="2" t="str">
        <x:v>Nordeste</x:v>
      </x:c>
      <x:c r="D331" s="2" t="str">
        <x:v>M-0326</x:v>
      </x:c>
      <x:c r="E331" s="16" t="n">
        <x:v>142</x:v>
      </x:c>
      <x:c r="F331" s="17" t="n">
        <x:v>165503.05</x:v>
      </x:c>
      <x:c r="G331" s="17" t="n">
        <x:v>6620.12</x:v>
      </x:c>
      <x:c r="H331" s="17" t="n">
        <x:v>3889.32</x:v>
      </x:c>
      <x:c r="I331" s="17" t="n">
        <x:v>154993.61</x:v>
      </x:c>
      <x:c r="J331" s="17" t="n">
        <x:v>97153.71</x:v>
      </x:c>
      <x:c r="K331" s="17" t="n">
        <x:v>10384.57</x:v>
      </x:c>
      <x:c r="L331" s="17" t="n">
        <x:v>3719.85</x:v>
      </x:c>
      <x:c r="M331" s="17" t="n">
        <x:v>11624.52</x:v>
      </x:c>
      <x:c r="N331" s="16" t="n">
        <x:v>74</x:v>
      </x:c>
      <x:c r="O331" s="16" t="n">
        <x:v>21</x:v>
      </x:c>
      <x:c r="P331" s="16" t="n">
        <x:v>4</x:v>
      </x:c>
      <x:c r="Q331" s="16" t="n">
        <x:v>45</x:v>
      </x:c>
      <x:c r="R331" s="16" t="n">
        <x:v>26</x:v>
      </x:c>
      <x:c r="S331" s="16" t="n">
        <x:v>9</x:v>
      </x:c>
      <x:c r="T331" s="15" t="n">
        <x:f>YEAR(A331)</x:f>
        <x:v>2025</x:v>
      </x:c>
      <x:c r="U331" s="15" t="n">
        <x:f>ROUNDUP(MONTH(A331)/3,0)</x:f>
        <x:v>2</x:v>
      </x:c>
      <x:c r="V331" s="18" t="n">
        <x:f>I331-J331</x:f>
        <x:v>57839.89999999998</x:v>
      </x:c>
      <x:c r="W331" s="19" t="n">
        <x:f>IF(I331=0,"",V331/I331)</x:f>
        <x:v>0.3731760296440607</x:v>
      </x:c>
      <x:c r="X331" s="18" t="n">
        <x:f>I331-J331-K331-L331-M331</x:f>
        <x:v>32110.95999999998</x:v>
      </x:c>
      <x:c r="Y331" s="19" t="n">
        <x:f>IF(I331=0,"",X331/I331)</x:f>
        <x:v>0.20717602486967032</x:v>
      </x:c>
      <x:c r="Z331" s="18" t="n">
        <x:f>IF(E331=0,"",F331/E331)</x:f>
        <x:v>1165.5144366197183</x:v>
      </x:c>
      <x:c r="AA331" s="18" t="n">
        <x:f>IF(N331=0,"",M331/N331)</x:f>
        <x:v>157.08810810810812</x:v>
      </x:c>
      <x:c r="AB331" s="19" t="n">
        <x:f>IF(E331=0,"",O331/E331)</x:f>
        <x:v>0.14788732394366197</x:v>
      </x:c>
      <x:c r="AC331" s="19" t="n">
        <x:f>IF(E331=0,"",P331/E331)</x:f>
        <x:v>0.028169014084507043</x:v>
      </x:c>
      <x:c r="AD331" s="20" t="n">
        <x:f>IF(Q331=0,"",100*(R331-S331)/Q331)</x:f>
        <x:v>37.77777777777778</x:v>
      </x:c>
      <x:c r="AE331" s="19" t="n">
        <x:f>IF(F331=0,"",G331/F331)</x:f>
        <x:v>0.03999998791563056</x:v>
      </x:c>
      <x:c r="AF331" s="18" t="n">
        <x:f>ROUND(I331-(F331-G331-H331),2)</x:f>
        <x:v>0</x:v>
      </x:c>
    </x:row>
    <x:row r="332" ht="24" customHeight="1">
      <x:c r="A332" s="14" t="n">
        <x:v>45748</x:v>
      </x:c>
      <x:c r="B332" s="2" t="str">
        <x:v>E-commerce</x:v>
      </x:c>
      <x:c r="C332" s="2" t="str">
        <x:v>Sul</x:v>
      </x:c>
      <x:c r="D332" s="2" t="str">
        <x:v>M-0327</x:v>
      </x:c>
      <x:c r="E332" s="16" t="n">
        <x:v>103</x:v>
      </x:c>
      <x:c r="F332" s="17" t="n">
        <x:v>119983.46</x:v>
      </x:c>
      <x:c r="G332" s="17" t="n">
        <x:v>4799.34</x:v>
      </x:c>
      <x:c r="H332" s="17" t="n">
        <x:v>2819.61</x:v>
      </x:c>
      <x:c r="I332" s="17" t="n">
        <x:v>112364.51</x:v>
      </x:c>
      <x:c r="J332" s="17" t="n">
        <x:v>70366.17</x:v>
      </x:c>
      <x:c r="K332" s="17" t="n">
        <x:v>7528.42</x:v>
      </x:c>
      <x:c r="L332" s="17" t="n">
        <x:v>2696.75</x:v>
      </x:c>
      <x:c r="M332" s="17" t="n">
        <x:v>8427.34</x:v>
      </x:c>
      <x:c r="N332" s="16" t="n">
        <x:v>54</x:v>
      </x:c>
      <x:c r="O332" s="16" t="n">
        <x:v>15</x:v>
      </x:c>
      <x:c r="P332" s="16" t="n">
        <x:v>3</x:v>
      </x:c>
      <x:c r="Q332" s="16" t="n">
        <x:v>33</x:v>
      </x:c>
      <x:c r="R332" s="16" t="n">
        <x:v>19</x:v>
      </x:c>
      <x:c r="S332" s="16" t="n">
        <x:v>7</x:v>
      </x:c>
      <x:c r="T332" s="15" t="n">
        <x:f>YEAR(A332)</x:f>
        <x:v>2025</x:v>
      </x:c>
      <x:c r="U332" s="15" t="n">
        <x:f>ROUNDUP(MONTH(A332)/3,0)</x:f>
        <x:v>2</x:v>
      </x:c>
      <x:c r="V332" s="18" t="n">
        <x:f>I332-J332</x:f>
        <x:v>41998.34</x:v>
      </x:c>
      <x:c r="W332" s="19" t="n">
        <x:f>IF(I332=0,"",V332/I332)</x:f>
        <x:v>0.373768728222105</x:v>
      </x:c>
      <x:c r="X332" s="18" t="n">
        <x:f>I332-J332-K332-L332-M332</x:f>
        <x:v>23345.829999999998</x:v>
      </x:c>
      <x:c r="Y332" s="19" t="n">
        <x:f>IF(I332=0,"",X332/I332)</x:f>
        <x:v>0.20776871629663138</x:v>
      </x:c>
      <x:c r="Z332" s="18" t="n">
        <x:f>IF(E332=0,"",F332/E332)</x:f>
        <x:v>1164.8879611650486</x:v>
      </x:c>
      <x:c r="AA332" s="18" t="n">
        <x:f>IF(N332=0,"",M332/N332)</x:f>
        <x:v>156.06185185185186</x:v>
      </x:c>
      <x:c r="AB332" s="19" t="n">
        <x:f>IF(E332=0,"",O332/E332)</x:f>
        <x:v>0.14563106796116504</x:v>
      </x:c>
      <x:c r="AC332" s="19" t="n">
        <x:f>IF(E332=0,"",P332/E332)</x:f>
        <x:v>0.02912621359223301</x:v>
      </x:c>
      <x:c r="AD332" s="20" t="n">
        <x:f>IF(Q332=0,"",100*(R332-S332)/Q332)</x:f>
        <x:v>36.36363636363637</x:v>
      </x:c>
      <x:c r="AE332" s="19" t="n">
        <x:f>IF(F332=0,"",G332/F332)</x:f>
        <x:v>0.040000013335171364</x:v>
      </x:c>
      <x:c r="AF332" s="18" t="n">
        <x:f>ROUND(I332-(F332-G332-H332),2)</x:f>
        <x:v>0</x:v>
      </x:c>
    </x:row>
    <x:row r="333" ht="24" customHeight="1">
      <x:c r="A333" s="14" t="n">
        <x:v>45748</x:v>
      </x:c>
      <x:c r="B333" s="2" t="str">
        <x:v>E-commerce</x:v>
      </x:c>
      <x:c r="C333" s="2" t="str">
        <x:v>Centro-Oeste</x:v>
      </x:c>
      <x:c r="D333" s="2" t="str">
        <x:v>M-0328</x:v>
      </x:c>
      <x:c r="E333" s="16" t="n">
        <x:v>93</x:v>
      </x:c>
      <x:c r="F333" s="17" t="n">
        <x:v>108248.43</x:v>
      </x:c>
      <x:c r="G333" s="17" t="n">
        <x:v>4329.94</x:v>
      </x:c>
      <x:c r="H333" s="17" t="n">
        <x:v>2543.84</x:v>
      </x:c>
      <x:c r="I333" s="17" t="n">
        <x:v>101374.65</x:v>
      </x:c>
      <x:c r="J333" s="17" t="n">
        <x:v>59731.13</x:v>
      </x:c>
      <x:c r="K333" s="17" t="n">
        <x:v>6792.1</x:v>
      </x:c>
      <x:c r="L333" s="17" t="n">
        <x:v>2432.99</x:v>
      </x:c>
      <x:c r="M333" s="17" t="n">
        <x:v>7603.1</x:v>
      </x:c>
      <x:c r="N333" s="16" t="n">
        <x:v>48</x:v>
      </x:c>
      <x:c r="O333" s="16" t="n">
        <x:v>14</x:v>
      </x:c>
      <x:c r="P333" s="16" t="n">
        <x:v>3</x:v>
      </x:c>
      <x:c r="Q333" s="16" t="n">
        <x:v>30</x:v>
      </x:c>
      <x:c r="R333" s="16" t="n">
        <x:v>17</x:v>
      </x:c>
      <x:c r="S333" s="16" t="n">
        <x:v>6</x:v>
      </x:c>
      <x:c r="T333" s="15" t="n">
        <x:f>YEAR(A333)</x:f>
        <x:v>2025</x:v>
      </x:c>
      <x:c r="U333" s="15" t="n">
        <x:f>ROUNDUP(MONTH(A333)/3,0)</x:f>
        <x:v>2</x:v>
      </x:c>
      <x:c r="V333" s="18" t="n">
        <x:f>I333-J333</x:f>
        <x:v>41643.52</x:v>
      </x:c>
      <x:c r="W333" s="19" t="n">
        <x:f>IF(I333=0,"",V333/I333)</x:f>
        <x:v>0.4107882986525724</x:v>
      </x:c>
      <x:c r="X333" s="18" t="n">
        <x:f>I333-J333-K333-L333-M333</x:f>
        <x:v>24815.33</x:v>
      </x:c>
      <x:c r="Y333" s="19" t="n">
        <x:f>IF(I333=0,"",X333/I333)</x:f>
        <x:v>0.24478831739493062</x:v>
      </x:c>
      <x:c r="Z333" s="18" t="n">
        <x:f>IF(E333=0,"",F333/E333)</x:f>
        <x:v>1163.9616129032258</x:v>
      </x:c>
      <x:c r="AA333" s="18" t="n">
        <x:f>IF(N333=0,"",M333/N333)</x:f>
        <x:v>158.39791666666667</x:v>
      </x:c>
      <x:c r="AB333" s="19" t="n">
        <x:f>IF(E333=0,"",O333/E333)</x:f>
        <x:v>0.15053763440860216</x:v>
      </x:c>
      <x:c r="AC333" s="19" t="n">
        <x:f>IF(E333=0,"",P333/E333)</x:f>
        <x:v>0.03225806451612903</x:v>
      </x:c>
      <x:c r="AD333" s="20" t="n">
        <x:f>IF(Q333=0,"",100*(R333-S333)/Q333)</x:f>
        <x:v>36.666666666666664</x:v>
      </x:c>
      <x:c r="AE333" s="19" t="n">
        <x:f>IF(F333=0,"",G333/F333)</x:f>
        <x:v>0.04000002586642596</x:v>
      </x:c>
      <x:c r="AF333" s="18" t="n">
        <x:f>ROUND(I333-(F333-G333-H333),2)</x:f>
        <x:v>0</x:v>
      </x:c>
    </x:row>
    <x:row r="334" ht="24" customHeight="1">
      <x:c r="A334" s="14" t="n">
        <x:v>45748</x:v>
      </x:c>
      <x:c r="B334" s="2" t="str">
        <x:v>Lojas</x:v>
      </x:c>
      <x:c r="C334" s="2" t="str">
        <x:v>Sudeste</x:v>
      </x:c>
      <x:c r="D334" s="2" t="str">
        <x:v>M-0329</x:v>
      </x:c>
      <x:c r="E334" s="16" t="n">
        <x:v>178</x:v>
      </x:c>
      <x:c r="F334" s="17" t="n">
        <x:v>206774.85</x:v>
      </x:c>
      <x:c r="G334" s="17" t="n">
        <x:v>8270.99</x:v>
      </x:c>
      <x:c r="H334" s="17" t="n">
        <x:v>4859.21</x:v>
      </x:c>
      <x:c r="I334" s="17" t="n">
        <x:v>193644.65</x:v>
      </x:c>
      <x:c r="J334" s="17" t="n">
        <x:v>121456.92</x:v>
      </x:c>
      <x:c r="K334" s="17" t="n">
        <x:v>8907.65</x:v>
      </x:c>
      <x:c r="L334" s="17" t="n">
        <x:v>4647.47</x:v>
      </x:c>
      <x:c r="M334" s="17" t="n">
        <x:v>3485.6</x:v>
      </x:c>
      <x:c r="N334" s="16" t="n">
        <x:v>50</x:v>
      </x:c>
      <x:c r="O334" s="16" t="n">
        <x:v>26</x:v>
      </x:c>
      <x:c r="P334" s="16" t="n">
        <x:v>6</x:v>
      </x:c>
      <x:c r="Q334" s="16" t="n">
        <x:v>57</x:v>
      </x:c>
      <x:c r="R334" s="16" t="n">
        <x:v>33</x:v>
      </x:c>
      <x:c r="S334" s="16" t="n">
        <x:v>12</x:v>
      </x:c>
      <x:c r="T334" s="15" t="n">
        <x:f>YEAR(A334)</x:f>
        <x:v>2025</x:v>
      </x:c>
      <x:c r="U334" s="15" t="n">
        <x:f>ROUNDUP(MONTH(A334)/3,0)</x:f>
        <x:v>2</x:v>
      </x:c>
      <x:c r="V334" s="18" t="n">
        <x:f>I334-J334</x:f>
        <x:v>72187.73</x:v>
      </x:c>
      <x:c r="W334" s="19" t="n">
        <x:f>IF(I334=0,"",V334/I334)</x:f>
        <x:v>0.3727845308403821</x:v>
      </x:c>
      <x:c r="X334" s="18" t="n">
        <x:f>I334-J334-K334-L334-M334</x:f>
        <x:v>55147.009999999995</x:v>
      </x:c>
      <x:c r="Y334" s="19" t="n">
        <x:f>IF(I334=0,"",X334/I334)</x:f>
        <x:v>0.2847845783500861</x:v>
      </x:c>
      <x:c r="Z334" s="18" t="n">
        <x:f>IF(E334=0,"",F334/E334)</x:f>
        <x:v>1161.6564606741574</x:v>
      </x:c>
      <x:c r="AA334" s="18" t="n">
        <x:f>IF(N334=0,"",M334/N334)</x:f>
        <x:v>69.712</x:v>
      </x:c>
      <x:c r="AB334" s="19" t="n">
        <x:f>IF(E334=0,"",O334/E334)</x:f>
        <x:v>0.14606741573033707</x:v>
      </x:c>
      <x:c r="AC334" s="19" t="n">
        <x:f>IF(E334=0,"",P334/E334)</x:f>
        <x:v>0.033707865168539325</x:v>
      </x:c>
      <x:c r="AD334" s="20" t="n">
        <x:f>IF(Q334=0,"",100*(R334-S334)/Q334)</x:f>
        <x:v>36.8421052631579</x:v>
      </x:c>
      <x:c r="AE334" s="19" t="n">
        <x:f>IF(F334=0,"",G334/F334)</x:f>
        <x:v>0.03999998065528762</x:v>
      </x:c>
      <x:c r="AF334" s="18" t="n">
        <x:f>ROUND(I334-(F334-G334-H334),2)</x:f>
        <x:v>0</x:v>
      </x:c>
    </x:row>
    <x:row r="335" ht="24" customHeight="1">
      <x:c r="A335" s="14" t="n">
        <x:v>45748</x:v>
      </x:c>
      <x:c r="B335" s="2" t="str">
        <x:v>Lojas</x:v>
      </x:c>
      <x:c r="C335" s="2" t="str">
        <x:v>Nordeste</x:v>
      </x:c>
      <x:c r="D335" s="2" t="str">
        <x:v>M-0330</x:v>
      </x:c>
      <x:c r="E335" s="16" t="n">
        <x:v>118</x:v>
      </x:c>
      <x:c r="F335" s="17" t="n">
        <x:v>136851.18</x:v>
      </x:c>
      <x:c r="G335" s="17" t="n">
        <x:v>5474.05</x:v>
      </x:c>
      <x:c r="H335" s="17" t="n">
        <x:v>3216</x:v>
      </x:c>
      <x:c r="I335" s="17" t="n">
        <x:v>128161.13</x:v>
      </x:c>
      <x:c r="J335" s="17" t="n">
        <x:v>78307.03</x:v>
      </x:c>
      <x:c r="K335" s="17" t="n">
        <x:v>5895.41</x:v>
      </x:c>
      <x:c r="L335" s="17" t="n">
        <x:v>3075.87</x:v>
      </x:c>
      <x:c r="M335" s="17" t="n">
        <x:v>2306.9</x:v>
      </x:c>
      <x:c r="N335" s="16" t="n">
        <x:v>33</x:v>
      </x:c>
      <x:c r="O335" s="16" t="n">
        <x:v>17</x:v>
      </x:c>
      <x:c r="P335" s="16" t="n">
        <x:v>4</x:v>
      </x:c>
      <x:c r="Q335" s="16" t="n">
        <x:v>38</x:v>
      </x:c>
      <x:c r="R335" s="16" t="n">
        <x:v>22</x:v>
      </x:c>
      <x:c r="S335" s="16" t="n">
        <x:v>8</x:v>
      </x:c>
      <x:c r="T335" s="15" t="n">
        <x:f>YEAR(A335)</x:f>
        <x:v>2025</x:v>
      </x:c>
      <x:c r="U335" s="15" t="n">
        <x:f>ROUNDUP(MONTH(A335)/3,0)</x:f>
        <x:v>2</x:v>
      </x:c>
      <x:c r="V335" s="18" t="n">
        <x:f>I335-J335</x:f>
        <x:v>49854.100000000006</x:v>
      </x:c>
      <x:c r="W335" s="19" t="n">
        <x:f>IF(I335=0,"",V335/I335)</x:f>
        <x:v>0.388995477802045</x:v>
      </x:c>
      <x:c r="X335" s="18" t="n">
        <x:f>I335-J335-K335-L335-M335</x:f>
        <x:v>38575.92</x:v>
      </x:c>
      <x:c r="Y335" s="19" t="n">
        <x:f>IF(I335=0,"",X335/I335)</x:f>
        <x:v>0.3009954734325454</x:v>
      </x:c>
      <x:c r="Z335" s="18" t="n">
        <x:f>IF(E335=0,"",F335/E335)</x:f>
        <x:v>1159.7557627118642</x:v>
      </x:c>
      <x:c r="AA335" s="18" t="n">
        <x:f>IF(N335=0,"",M335/N335)</x:f>
        <x:v>69.9060606060606</x:v>
      </x:c>
      <x:c r="AB335" s="19" t="n">
        <x:f>IF(E335=0,"",O335/E335)</x:f>
        <x:v>0.1440677966101695</x:v>
      </x:c>
      <x:c r="AC335" s="19" t="n">
        <x:f>IF(E335=0,"",P335/E335)</x:f>
        <x:v>0.03389830508474576</x:v>
      </x:c>
      <x:c r="AD335" s="20" t="n">
        <x:f>IF(Q335=0,"",100*(R335-S335)/Q335)</x:f>
        <x:v>36.8421052631579</x:v>
      </x:c>
      <x:c r="AE335" s="19" t="n">
        <x:f>IF(F335=0,"",G335/F335)</x:f>
        <x:v>0.04000002046018164</x:v>
      </x:c>
      <x:c r="AF335" s="18" t="n">
        <x:f>ROUND(I335-(F335-G335-H335),2)</x:f>
        <x:v>0</x:v>
      </x:c>
    </x:row>
    <x:row r="336" ht="24" customHeight="1">
      <x:c r="A336" s="14" t="n">
        <x:v>45748</x:v>
      </x:c>
      <x:c r="B336" s="2" t="str">
        <x:v>Lojas</x:v>
      </x:c>
      <x:c r="C336" s="2" t="str">
        <x:v>Sul</x:v>
      </x:c>
      <x:c r="D336" s="2" t="str">
        <x:v>M-0331</x:v>
      </x:c>
      <x:c r="E336" s="16" t="n">
        <x:v>89</x:v>
      </x:c>
      <x:c r="F336" s="17" t="n">
        <x:v>103415.86</x:v>
      </x:c>
      <x:c r="G336" s="17" t="n">
        <x:v>4136.63</x:v>
      </x:c>
      <x:c r="H336" s="17" t="n">
        <x:v>2430.27</x:v>
      </x:c>
      <x:c r="I336" s="17" t="n">
        <x:v>96848.96</x:v>
      </x:c>
      <x:c r="J336" s="17" t="n">
        <x:v>58402.49</x:v>
      </x:c>
      <x:c r="K336" s="17" t="n">
        <x:v>4455.05</x:v>
      </x:c>
      <x:c r="L336" s="17" t="n">
        <x:v>2324.38</x:v>
      </x:c>
      <x:c r="M336" s="17" t="n">
        <x:v>1743.28</x:v>
      </x:c>
      <x:c r="N336" s="16" t="n">
        <x:v>25</x:v>
      </x:c>
      <x:c r="O336" s="16" t="n">
        <x:v>13</x:v>
      </x:c>
      <x:c r="P336" s="16" t="n">
        <x:v>3</x:v>
      </x:c>
      <x:c r="Q336" s="16" t="n">
        <x:v>28</x:v>
      </x:c>
      <x:c r="R336" s="16" t="n">
        <x:v>16</x:v>
      </x:c>
      <x:c r="S336" s="16" t="n">
        <x:v>6</x:v>
      </x:c>
      <x:c r="T336" s="15" t="n">
        <x:f>YEAR(A336)</x:f>
        <x:v>2025</x:v>
      </x:c>
      <x:c r="U336" s="15" t="n">
        <x:f>ROUNDUP(MONTH(A336)/3,0)</x:f>
        <x:v>2</x:v>
      </x:c>
      <x:c r="V336" s="18" t="n">
        <x:f>I336-J336</x:f>
        <x:v>38446.47000000001</x:v>
      </x:c>
      <x:c r="W336" s="19" t="n">
        <x:f>IF(I336=0,"",V336/I336)</x:f>
        <x:v>0.39697349357184636</x:v>
      </x:c>
      <x:c r="X336" s="18" t="n">
        <x:f>I336-J336-K336-L336-M336</x:f>
        <x:v>29923.760000000006</x:v>
      </x:c>
      <x:c r="Y336" s="19" t="n">
        <x:f>IF(I336=0,"",X336/I336)</x:f>
        <x:v>0.30897347787730506</x:v>
      </x:c>
      <x:c r="Z336" s="18" t="n">
        <x:f>IF(E336=0,"",F336/E336)</x:f>
        <x:v>1161.9759550561798</x:v>
      </x:c>
      <x:c r="AA336" s="18" t="n">
        <x:f>IF(N336=0,"",M336/N336)</x:f>
        <x:v>69.7312</x:v>
      </x:c>
      <x:c r="AB336" s="19" t="n">
        <x:f>IF(E336=0,"",O336/E336)</x:f>
        <x:v>0.14606741573033707</x:v>
      </x:c>
      <x:c r="AC336" s="19" t="n">
        <x:f>IF(E336=0,"",P336/E336)</x:f>
        <x:v>0.033707865168539325</x:v>
      </x:c>
      <x:c r="AD336" s="20" t="n">
        <x:f>IF(Q336=0,"",100*(R336-S336)/Q336)</x:f>
        <x:v>35.714285714285715</x:v>
      </x:c>
      <x:c r="AE336" s="19" t="n">
        <x:f>IF(F336=0,"",G336/F336)</x:f>
        <x:v>0.039999957453334525</x:v>
      </x:c>
      <x:c r="AF336" s="18" t="n">
        <x:f>ROUND(I336-(F336-G336-H336),2)</x:f>
        <x:v>0</x:v>
      </x:c>
    </x:row>
    <x:row r="337" ht="24" customHeight="1">
      <x:c r="A337" s="14" t="n">
        <x:v>45748</x:v>
      </x:c>
      <x:c r="B337" s="2" t="str">
        <x:v>Lojas</x:v>
      </x:c>
      <x:c r="C337" s="2" t="str">
        <x:v>Centro-Oeste</x:v>
      </x:c>
      <x:c r="D337" s="2" t="str">
        <x:v>M-0332</x:v>
      </x:c>
      <x:c r="E337" s="16" t="n">
        <x:v>80</x:v>
      </x:c>
      <x:c r="F337" s="17" t="n">
        <x:v>92682.22</x:v>
      </x:c>
      <x:c r="G337" s="17" t="n">
        <x:v>3707.29</x:v>
      </x:c>
      <x:c r="H337" s="17" t="n">
        <x:v>2178.03</x:v>
      </x:c>
      <x:c r="I337" s="17" t="n">
        <x:v>86796.9</x:v>
      </x:c>
      <x:c r="J337" s="17" t="n">
        <x:v>51392.11</x:v>
      </x:c>
      <x:c r="K337" s="17" t="n">
        <x:v>3992.66</x:v>
      </x:c>
      <x:c r="L337" s="17" t="n">
        <x:v>2083.13</x:v>
      </x:c>
      <x:c r="M337" s="17" t="n">
        <x:v>1562.34</x:v>
      </x:c>
      <x:c r="N337" s="16" t="n">
        <x:v>22</x:v>
      </x:c>
      <x:c r="O337" s="16" t="n">
        <x:v>12</x:v>
      </x:c>
      <x:c r="P337" s="16" t="n">
        <x:v>3</x:v>
      </x:c>
      <x:c r="Q337" s="16" t="n">
        <x:v>26</x:v>
      </x:c>
      <x:c r="R337" s="16" t="n">
        <x:v>15</x:v>
      </x:c>
      <x:c r="S337" s="16" t="n">
        <x:v>5</x:v>
      </x:c>
      <x:c r="T337" s="15" t="n">
        <x:f>YEAR(A337)</x:f>
        <x:v>2025</x:v>
      </x:c>
      <x:c r="U337" s="15" t="n">
        <x:f>ROUNDUP(MONTH(A337)/3,0)</x:f>
        <x:v>2</x:v>
      </x:c>
      <x:c r="V337" s="18" t="n">
        <x:f>I337-J337</x:f>
        <x:v>35404.78999999999</x:v>
      </x:c>
      <x:c r="W337" s="19" t="n">
        <x:f>IF(I337=0,"",V337/I337)</x:f>
        <x:v>0.407903853709061</x:v>
      </x:c>
      <x:c r="X337" s="18" t="n">
        <x:f>I337-J337-K337-L337-M337</x:f>
        <x:v>27766.659999999993</x:v>
      </x:c>
      <x:c r="Y337" s="19" t="n">
        <x:f>IF(I337=0,"",X337/I337)</x:f>
        <x:v>0.31990382144984436</x:v>
      </x:c>
      <x:c r="Z337" s="18" t="n">
        <x:f>IF(E337=0,"",F337/E337)</x:f>
        <x:v>1158.52775</x:v>
      </x:c>
      <x:c r="AA337" s="18" t="n">
        <x:f>IF(N337=0,"",M337/N337)</x:f>
        <x:v>71.01545454545455</x:v>
      </x:c>
      <x:c r="AB337" s="19" t="n">
        <x:f>IF(E337=0,"",O337/E337)</x:f>
        <x:v>0.15</x:v>
      </x:c>
      <x:c r="AC337" s="19" t="n">
        <x:f>IF(E337=0,"",P337/E337)</x:f>
        <x:v>0.0375</x:v>
      </x:c>
      <x:c r="AD337" s="20" t="n">
        <x:f>IF(Q337=0,"",100*(R337-S337)/Q337)</x:f>
        <x:v>38.46153846153846</x:v>
      </x:c>
      <x:c r="AE337" s="19" t="n">
        <x:f>IF(F337=0,"",G337/F337)</x:f>
        <x:v>0.04000001294746716</x:v>
      </x:c>
      <x:c r="AF337" s="18" t="n">
        <x:f>ROUND(I337-(F337-G337-H337),2)</x:f>
        <x:v>0</x:v>
      </x:c>
    </x:row>
    <x:row r="338" ht="24" customHeight="1">
      <x:c r="A338" s="14" t="n">
        <x:v>45748</x:v>
      </x:c>
      <x:c r="B338" s="2" t="str">
        <x:v>B2B</x:v>
      </x:c>
      <x:c r="C338" s="2" t="str">
        <x:v>Sudeste</x:v>
      </x:c>
      <x:c r="D338" s="2" t="str">
        <x:v>M-0333</x:v>
      </x:c>
      <x:c r="E338" s="16" t="n">
        <x:v>100</x:v>
      </x:c>
      <x:c r="F338" s="17" t="n">
        <x:v>115750.86</x:v>
      </x:c>
      <x:c r="G338" s="17" t="n">
        <x:v>4630.03</x:v>
      </x:c>
      <x:c r="H338" s="17" t="n">
        <x:v>2720.15</x:v>
      </x:c>
      <x:c r="I338" s="17" t="n">
        <x:v>108400.68</x:v>
      </x:c>
      <x:c r="J338" s="17" t="n">
        <x:v>66219.16</x:v>
      </x:c>
      <x:c r="K338" s="17" t="n">
        <x:v>4986.43</x:v>
      </x:c>
      <x:c r="L338" s="17" t="n">
        <x:v>2601.62</x:v>
      </x:c>
      <x:c r="M338" s="17" t="n">
        <x:v>1951.21</x:v>
      </x:c>
      <x:c r="N338" s="16" t="n">
        <x:v>28</x:v>
      </x:c>
      <x:c r="O338" s="16" t="n">
        <x:v>15</x:v>
      </x:c>
      <x:c r="P338" s="16" t="n">
        <x:v>3</x:v>
      </x:c>
      <x:c r="Q338" s="16" t="n">
        <x:v>32</x:v>
      </x:c>
      <x:c r="R338" s="16" t="n">
        <x:v>18</x:v>
      </x:c>
      <x:c r="S338" s="16" t="n">
        <x:v>7</x:v>
      </x:c>
      <x:c r="T338" s="15" t="n">
        <x:f>YEAR(A338)</x:f>
        <x:v>2025</x:v>
      </x:c>
      <x:c r="U338" s="15" t="n">
        <x:f>ROUNDUP(MONTH(A338)/3,0)</x:f>
        <x:v>2</x:v>
      </x:c>
      <x:c r="V338" s="18" t="n">
        <x:f>I338-J338</x:f>
        <x:v>42181.51999999999</x:v>
      </x:c>
      <x:c r="W338" s="19" t="n">
        <x:f>IF(I338=0,"",V338/I338)</x:f>
        <x:v>0.38912597227249857</x:v>
      </x:c>
      <x:c r="X338" s="18" t="n">
        <x:f>I338-J338-K338-L338-M338</x:f>
        <x:v>32642.259999999987</x:v>
      </x:c>
      <x:c r="Y338" s="19" t="n">
        <x:f>IF(I338=0,"",X338/I338)</x:f>
        <x:v>0.30112597079649306</x:v>
      </x:c>
      <x:c r="Z338" s="18" t="n">
        <x:f>IF(E338=0,"",F338/E338)</x:f>
        <x:v>1157.5086000000001</x:v>
      </x:c>
      <x:c r="AA338" s="18" t="n">
        <x:f>IF(N338=0,"",M338/N338)</x:f>
        <x:v>69.68607142857142</x:v>
      </x:c>
      <x:c r="AB338" s="19" t="n">
        <x:f>IF(E338=0,"",O338/E338)</x:f>
        <x:v>0.15</x:v>
      </x:c>
      <x:c r="AC338" s="19" t="n">
        <x:f>IF(E338=0,"",P338/E338)</x:f>
        <x:v>0.03</x:v>
      </x:c>
      <x:c r="AD338" s="20" t="n">
        <x:f>IF(Q338=0,"",100*(R338-S338)/Q338)</x:f>
        <x:v>34.375</x:v>
      </x:c>
      <x:c r="AE338" s="19" t="n">
        <x:f>IF(F338=0,"",G338/F338)</x:f>
        <x:v>0.03999996198732346</x:v>
      </x:c>
      <x:c r="AF338" s="18" t="n">
        <x:f>ROUND(I338-(F338-G338-H338),2)</x:f>
        <x:v>0</x:v>
      </x:c>
    </x:row>
    <x:row r="339" ht="24" customHeight="1">
      <x:c r="A339" s="14" t="n">
        <x:v>45748</x:v>
      </x:c>
      <x:c r="B339" s="2" t="str">
        <x:v>B2B</x:v>
      </x:c>
      <x:c r="C339" s="2" t="str">
        <x:v>Nordeste</x:v>
      </x:c>
      <x:c r="D339" s="2" t="str">
        <x:v>M-0334</x:v>
      </x:c>
      <x:c r="E339" s="16" t="n">
        <x:v>63</x:v>
      </x:c>
      <x:c r="F339" s="17" t="n">
        <x:v>73495.98</x:v>
      </x:c>
      <x:c r="G339" s="17" t="n">
        <x:v>2939.84</x:v>
      </x:c>
      <x:c r="H339" s="17" t="n">
        <x:v>1727.16</x:v>
      </x:c>
      <x:c r="I339" s="17" t="n">
        <x:v>68828.98</x:v>
      </x:c>
      <x:c r="J339" s="17" t="n">
        <x:v>40499.88</x:v>
      </x:c>
      <x:c r="K339" s="17" t="n">
        <x:v>3166.13</x:v>
      </x:c>
      <x:c r="L339" s="17" t="n">
        <x:v>1651.9</x:v>
      </x:c>
      <x:c r="M339" s="17" t="n">
        <x:v>1238.92</x:v>
      </x:c>
      <x:c r="N339" s="16" t="n">
        <x:v>18</x:v>
      </x:c>
      <x:c r="O339" s="16" t="n">
        <x:v>9</x:v>
      </x:c>
      <x:c r="P339" s="16" t="n">
        <x:v>2</x:v>
      </x:c>
      <x:c r="Q339" s="16" t="n">
        <x:v>20</x:v>
      </x:c>
      <x:c r="R339" s="16" t="n">
        <x:v>12</x:v>
      </x:c>
      <x:c r="S339" s="16" t="n">
        <x:v>4</x:v>
      </x:c>
      <x:c r="T339" s="15" t="n">
        <x:f>YEAR(A339)</x:f>
        <x:v>2025</x:v>
      </x:c>
      <x:c r="U339" s="15" t="n">
        <x:f>ROUNDUP(MONTH(A339)/3,0)</x:f>
        <x:v>2</x:v>
      </x:c>
      <x:c r="V339" s="18" t="n">
        <x:f>I339-J339</x:f>
        <x:v>28329.1</x:v>
      </x:c>
      <x:c r="W339" s="19" t="n">
        <x:f>IF(I339=0,"",V339/I339)</x:f>
        <x:v>0.41158680544154513</x:v>
      </x:c>
      <x:c r="X339" s="18" t="n">
        <x:f>I339-J339-K339-L339-M339</x:f>
        <x:v>22272.149999999994</x:v>
      </x:c>
      <x:c r="Y339" s="19" t="n">
        <x:f>IF(I339=0,"",X339/I339)</x:f>
        <x:v>0.3235868089284484</x:v>
      </x:c>
      <x:c r="Z339" s="18" t="n">
        <x:f>IF(E339=0,"",F339/E339)</x:f>
        <x:v>1166.6028571428571</x:v>
      </x:c>
      <x:c r="AA339" s="18" t="n">
        <x:f>IF(N339=0,"",M339/N339)</x:f>
        <x:v>68.8288888888889</x:v>
      </x:c>
      <x:c r="AB339" s="19" t="n">
        <x:f>IF(E339=0,"",O339/E339)</x:f>
        <x:v>0.14285714285714285</x:v>
      </x:c>
      <x:c r="AC339" s="19" t="n">
        <x:f>IF(E339=0,"",P339/E339)</x:f>
        <x:v>0.031746031746031744</x:v>
      </x:c>
      <x:c r="AD339" s="20" t="n">
        <x:f>IF(Q339=0,"",100*(R339-S339)/Q339)</x:f>
        <x:v>40</x:v>
      </x:c>
      <x:c r="AE339" s="19" t="n">
        <x:f>IF(F339=0,"",G339/F339)</x:f>
        <x:v>0.04000001088494909</x:v>
      </x:c>
      <x:c r="AF339" s="18" t="n">
        <x:f>ROUND(I339-(F339-G339-H339),2)</x:f>
        <x:v>0</x:v>
      </x:c>
    </x:row>
    <x:row r="340" ht="24" customHeight="1">
      <x:c r="A340" s="14" t="n">
        <x:v>45748</x:v>
      </x:c>
      <x:c r="B340" s="2" t="str">
        <x:v>B2B</x:v>
      </x:c>
      <x:c r="C340" s="2" t="str">
        <x:v>Sul</x:v>
      </x:c>
      <x:c r="D340" s="2" t="str">
        <x:v>M-0335</x:v>
      </x:c>
      <x:c r="E340" s="16" t="n">
        <x:v>54</x:v>
      </x:c>
      <x:c r="F340" s="17" t="n">
        <x:v>62751.87</x:v>
      </x:c>
      <x:c r="G340" s="17" t="n">
        <x:v>2510.07</x:v>
      </x:c>
      <x:c r="H340" s="17" t="n">
        <x:v>1474.67</x:v>
      </x:c>
      <x:c r="I340" s="17" t="n">
        <x:v>58767.13</x:v>
      </x:c>
      <x:c r="J340" s="17" t="n">
        <x:v>35335.72</x:v>
      </x:c>
      <x:c r="K340" s="17" t="n">
        <x:v>2703.29</x:v>
      </x:c>
      <x:c r="L340" s="17" t="n">
        <x:v>1410.41</x:v>
      </x:c>
      <x:c r="M340" s="17" t="n">
        <x:v>1057.81</x:v>
      </x:c>
      <x:c r="N340" s="16" t="n">
        <x:v>15</x:v>
      </x:c>
      <x:c r="O340" s="16" t="n">
        <x:v>8</x:v>
      </x:c>
      <x:c r="P340" s="16" t="n">
        <x:v>2</x:v>
      </x:c>
      <x:c r="Q340" s="16" t="n">
        <x:v>17</x:v>
      </x:c>
      <x:c r="R340" s="16" t="n">
        <x:v>10</x:v>
      </x:c>
      <x:c r="S340" s="16" t="n">
        <x:v>4</x:v>
      </x:c>
      <x:c r="T340" s="15" t="n">
        <x:f>YEAR(A340)</x:f>
        <x:v>2025</x:v>
      </x:c>
      <x:c r="U340" s="15" t="n">
        <x:f>ROUNDUP(MONTH(A340)/3,0)</x:f>
        <x:v>2</x:v>
      </x:c>
      <x:c r="V340" s="18" t="n">
        <x:f>I340-J340</x:f>
        <x:v>23431.409999999996</x:v>
      </x:c>
      <x:c r="W340" s="19" t="n">
        <x:f>IF(I340=0,"",V340/I340)</x:f>
        <x:v>0.3987162551582832</x:v>
      </x:c>
      <x:c r="X340" s="18" t="n">
        <x:f>I340-J340-K340-L340-M340</x:f>
        <x:v>18259.899999999994</x:v>
      </x:c>
      <x:c r="Y340" s="19" t="n">
        <x:f>IF(I340=0,"",X340/I340)</x:f>
        <x:v>0.3107162115965165</x:v>
      </x:c>
      <x:c r="Z340" s="18" t="n">
        <x:f>IF(E340=0,"",F340/E340)</x:f>
        <x:v>1162.0716666666667</x:v>
      </x:c>
      <x:c r="AA340" s="18" t="n">
        <x:f>IF(N340=0,"",M340/N340)</x:f>
        <x:v>70.52066666666666</x:v>
      </x:c>
      <x:c r="AB340" s="19" t="n">
        <x:f>IF(E340=0,"",O340/E340)</x:f>
        <x:v>0.14814814814814814</x:v>
      </x:c>
      <x:c r="AC340" s="19" t="n">
        <x:f>IF(E340=0,"",P340/E340)</x:f>
        <x:v>0.037037037037037035</x:v>
      </x:c>
      <x:c r="AD340" s="20" t="n">
        <x:f>IF(Q340=0,"",100*(R340-S340)/Q340)</x:f>
        <x:v>35.294117647058826</x:v>
      </x:c>
      <x:c r="AE340" s="19" t="n">
        <x:f>IF(F340=0,"",G340/F340)</x:f>
        <x:v>0.03999992350825561</x:v>
      </x:c>
      <x:c r="AF340" s="18" t="n">
        <x:f>ROUND(I340-(F340-G340-H340),2)</x:f>
        <x:v>0</x:v>
      </x:c>
    </x:row>
    <x:row r="341" ht="24" customHeight="1">
      <x:c r="A341" s="14" t="n">
        <x:v>45748</x:v>
      </x:c>
      <x:c r="B341" s="2" t="str">
        <x:v>B2B</x:v>
      </x:c>
      <x:c r="C341" s="2" t="str">
        <x:v>Centro-Oeste</x:v>
      </x:c>
      <x:c r="D341" s="2" t="str">
        <x:v>M-0336</x:v>
      </x:c>
      <x:c r="E341" s="16" t="n">
        <x:v>41</x:v>
      </x:c>
      <x:c r="F341" s="17" t="n">
        <x:v>47160.68</x:v>
      </x:c>
      <x:c r="G341" s="17" t="n">
        <x:v>1886.43</x:v>
      </x:c>
      <x:c r="H341" s="17" t="n">
        <x:v>1108.28</x:v>
      </x:c>
      <x:c r="I341" s="17" t="n">
        <x:v>44165.97</x:v>
      </x:c>
      <x:c r="J341" s="17" t="n">
        <x:v>27578.61</x:v>
      </x:c>
      <x:c r="K341" s="17" t="n">
        <x:v>2031.63</x:v>
      </x:c>
      <x:c r="L341" s="17" t="n">
        <x:v>1059.98</x:v>
      </x:c>
      <x:c r="M341" s="17" t="n">
        <x:v>794.99</x:v>
      </x:c>
      <x:c r="N341" s="16" t="n">
        <x:v>11</x:v>
      </x:c>
      <x:c r="O341" s="16" t="n">
        <x:v>6</x:v>
      </x:c>
      <x:c r="P341" s="16" t="n">
        <x:v>1</x:v>
      </x:c>
      <x:c r="Q341" s="16" t="n">
        <x:v>13</x:v>
      </x:c>
      <x:c r="R341" s="16" t="n">
        <x:v>8</x:v>
      </x:c>
      <x:c r="S341" s="16" t="n">
        <x:v>3</x:v>
      </x:c>
      <x:c r="T341" s="15" t="n">
        <x:f>YEAR(A341)</x:f>
        <x:v>2025</x:v>
      </x:c>
      <x:c r="U341" s="15" t="n">
        <x:f>ROUNDUP(MONTH(A341)/3,0)</x:f>
        <x:v>2</x:v>
      </x:c>
      <x:c r="V341" s="18" t="n">
        <x:f>I341-J341</x:f>
        <x:v>16587.36</x:v>
      </x:c>
      <x:c r="W341" s="19" t="n">
        <x:f>IF(I341=0,"",V341/I341)</x:f>
        <x:v>0.3755687919907567</x:v>
      </x:c>
      <x:c r="X341" s="18" t="n">
        <x:f>I341-J341-K341-L341-M341</x:f>
        <x:v>12700.76</x:v>
      </x:c>
      <x:c r="Y341" s="19" t="n">
        <x:f>IF(I341=0,"",X341/I341)</x:f>
        <x:v>0.2875689133511615</x:v>
      </x:c>
      <x:c r="Z341" s="18" t="n">
        <x:f>IF(E341=0,"",F341/E341)</x:f>
        <x:v>1150.260487804878</x:v>
      </x:c>
      <x:c r="AA341" s="18" t="n">
        <x:f>IF(N341=0,"",M341/N341)</x:f>
        <x:v>72.27181818181818</x:v>
      </x:c>
      <x:c r="AB341" s="19" t="n">
        <x:f>IF(E341=0,"",O341/E341)</x:f>
        <x:v>0.14634146341463414</x:v>
      </x:c>
      <x:c r="AC341" s="19" t="n">
        <x:f>IF(E341=0,"",P341/E341)</x:f>
        <x:v>0.024390243902439025</x:v>
      </x:c>
      <x:c r="AD341" s="20" t="n">
        <x:f>IF(Q341=0,"",100*(R341-S341)/Q341)</x:f>
        <x:v>38.46153846153846</x:v>
      </x:c>
      <x:c r="AE341" s="19" t="n">
        <x:f>IF(F341=0,"",G341/F341)</x:f>
        <x:v>0.040000059371493375</x:v>
      </x:c>
      <x:c r="AF341" s="18" t="n">
        <x:f>ROUND(I341-(F341-G341-H341),2)</x:f>
        <x:v>0</x:v>
      </x:c>
    </x:row>
    <x:row r="342" ht="24" customHeight="1">
      <x:c r="A342" s="14" t="n">
        <x:v>45778</x:v>
      </x:c>
      <x:c r="B342" s="2" t="str">
        <x:v>E-commerce</x:v>
      </x:c>
      <x:c r="C342" s="2" t="str">
        <x:v>Sudeste</x:v>
      </x:c>
      <x:c r="D342" s="2" t="str">
        <x:v>M-0337</x:v>
      </x:c>
      <x:c r="E342" s="16" t="n">
        <x:v>220</x:v>
      </x:c>
      <x:c r="F342" s="17" t="n">
        <x:v>255158.88</x:v>
      </x:c>
      <x:c r="G342" s="17" t="n">
        <x:v>10348.11</x:v>
      </x:c>
      <x:c r="H342" s="17" t="n">
        <x:v>6123.81</x:v>
      </x:c>
      <x:c r="I342" s="17" t="n">
        <x:v>238686.96</x:v>
      </x:c>
      <x:c r="J342" s="17" t="n">
        <x:v>147787.37</x:v>
      </x:c>
      <x:c r="K342" s="17" t="n">
        <x:v>16230.71</x:v>
      </x:c>
      <x:c r="L342" s="17" t="n">
        <x:v>5728.49</x:v>
      </x:c>
      <x:c r="M342" s="17" t="n">
        <x:v>17901.52</x:v>
      </x:c>
      <x:c r="N342" s="16" t="n">
        <x:v>114</x:v>
      </x:c>
      <x:c r="O342" s="16" t="n">
        <x:v>33</x:v>
      </x:c>
      <x:c r="P342" s="16" t="n">
        <x:v>7</x:v>
      </x:c>
      <x:c r="Q342" s="16" t="n">
        <x:v>70</x:v>
      </x:c>
      <x:c r="R342" s="16" t="n">
        <x:v>40</x:v>
      </x:c>
      <x:c r="S342" s="16" t="n">
        <x:v>15</x:v>
      </x:c>
      <x:c r="T342" s="15" t="n">
        <x:f>YEAR(A342)</x:f>
        <x:v>2025</x:v>
      </x:c>
      <x:c r="U342" s="15" t="n">
        <x:f>ROUNDUP(MONTH(A342)/3,0)</x:f>
        <x:v>2</x:v>
      </x:c>
      <x:c r="V342" s="18" t="n">
        <x:f>I342-J342</x:f>
        <x:v>90899.59</x:v>
      </x:c>
      <x:c r="W342" s="19" t="n">
        <x:f>IF(I342=0,"",V342/I342)</x:f>
        <x:v>0.38083182256793585</x:v>
      </x:c>
      <x:c r="X342" s="18" t="n">
        <x:f>I342-J342-K342-L342-M342</x:f>
        <x:v>51038.869999999995</x:v>
      </x:c>
      <x:c r="Y342" s="19" t="n">
        <x:f>IF(I342=0,"",X342/I342)</x:f>
        <x:v>0.21383183228777977</x:v>
      </x:c>
      <x:c r="Z342" s="18" t="n">
        <x:f>IF(E342=0,"",F342/E342)</x:f>
        <x:v>1159.813090909091</x:v>
      </x:c>
      <x:c r="AA342" s="18" t="n">
        <x:f>IF(N342=0,"",M342/N342)</x:f>
        <x:v>157.03087719298247</x:v>
      </x:c>
      <x:c r="AB342" s="19" t="n">
        <x:f>IF(E342=0,"",O342/E342)</x:f>
        <x:v>0.15</x:v>
      </x:c>
      <x:c r="AC342" s="19" t="n">
        <x:f>IF(E342=0,"",P342/E342)</x:f>
        <x:v>0.031818181818181815</x:v>
      </x:c>
      <x:c r="AD342" s="20" t="n">
        <x:f>IF(Q342=0,"",100*(R342-S342)/Q342)</x:f>
        <x:v>35.714285714285715</x:v>
      </x:c>
      <x:c r="AE342" s="19" t="n">
        <x:f>IF(F342=0,"",G342/F342)</x:f>
        <x:v>0.04055555503300532</x:v>
      </x:c>
      <x:c r="AF342" s="18" t="n">
        <x:f>ROUND(I342-(F342-G342-H342),2)</x:f>
        <x:v>0</x:v>
      </x:c>
    </x:row>
    <x:row r="343" ht="24" customHeight="1">
      <x:c r="A343" s="14" t="n">
        <x:v>45778</x:v>
      </x:c>
      <x:c r="B343" s="2" t="str">
        <x:v>E-commerce</x:v>
      </x:c>
      <x:c r="C343" s="2" t="str">
        <x:v>Nordeste</x:v>
      </x:c>
      <x:c r="D343" s="2" t="str">
        <x:v>M-0338</x:v>
      </x:c>
      <x:c r="E343" s="16" t="n">
        <x:v>140</x:v>
      </x:c>
      <x:c r="F343" s="17" t="n">
        <x:v>162418.48</x:v>
      </x:c>
      <x:c r="G343" s="17" t="n">
        <x:v>6586.97</x:v>
      </x:c>
      <x:c r="H343" s="17" t="n">
        <x:v>3898.04</x:v>
      </x:c>
      <x:c r="I343" s="17" t="n">
        <x:v>151933.47</x:v>
      </x:c>
      <x:c r="J343" s="17" t="n">
        <x:v>93259.85</x:v>
      </x:c>
      <x:c r="K343" s="17" t="n">
        <x:v>10331.48</x:v>
      </x:c>
      <x:c r="L343" s="17" t="n">
        <x:v>3646.4</x:v>
      </x:c>
      <x:c r="M343" s="17" t="n">
        <x:v>11395.01</x:v>
      </x:c>
      <x:c r="N343" s="16" t="n">
        <x:v>73</x:v>
      </x:c>
      <x:c r="O343" s="16" t="n">
        <x:v>21</x:v>
      </x:c>
      <x:c r="P343" s="16" t="n">
        <x:v>4</x:v>
      </x:c>
      <x:c r="Q343" s="16" t="n">
        <x:v>45</x:v>
      </x:c>
      <x:c r="R343" s="16" t="n">
        <x:v>26</x:v>
      </x:c>
      <x:c r="S343" s="16" t="n">
        <x:v>10</x:v>
      </x:c>
      <x:c r="T343" s="15" t="n">
        <x:f>YEAR(A343)</x:f>
        <x:v>2025</x:v>
      </x:c>
      <x:c r="U343" s="15" t="n">
        <x:f>ROUNDUP(MONTH(A343)/3,0)</x:f>
        <x:v>2</x:v>
      </x:c>
      <x:c r="V343" s="18" t="n">
        <x:f>I343-J343</x:f>
        <x:v>58673.619999999995</x:v>
      </x:c>
      <x:c r="W343" s="19" t="n">
        <x:f>IF(I343=0,"",V343/I343)</x:f>
        <x:v>0.38617968772779293</x:v>
      </x:c>
      <x:c r="X343" s="18" t="n">
        <x:f>I343-J343-K343-L343-M343</x:f>
        <x:v>33300.729999999996</x:v>
      </x:c>
      <x:c r="Y343" s="19" t="n">
        <x:f>IF(I343=0,"",X343/I343)</x:f>
        <x:v>0.21917968437106053</x:v>
      </x:c>
      <x:c r="Z343" s="18" t="n">
        <x:f>IF(E343=0,"",F343/E343)</x:f>
        <x:v>1160.132</x:v>
      </x:c>
      <x:c r="AA343" s="18" t="n">
        <x:f>IF(N343=0,"",M343/N343)</x:f>
        <x:v>156.0960273972603</x:v>
      </x:c>
      <x:c r="AB343" s="19" t="n">
        <x:f>IF(E343=0,"",O343/E343)</x:f>
        <x:v>0.15</x:v>
      </x:c>
      <x:c r="AC343" s="19" t="n">
        <x:f>IF(E343=0,"",P343/E343)</x:f>
        <x:v>0.02857142857142857</x:v>
      </x:c>
      <x:c r="AD343" s="20" t="n">
        <x:f>IF(Q343=0,"",100*(R343-S343)/Q343)</x:f>
        <x:v>35.55555555555556</x:v>
      </x:c>
      <x:c r="AE343" s="19" t="n">
        <x:f>IF(F343=0,"",G343/F343)</x:f>
        <x:v>0.040555545157176694</x:v>
      </x:c>
      <x:c r="AF343" s="18" t="n">
        <x:f>ROUND(I343-(F343-G343-H343),2)</x:f>
        <x:v>0</x:v>
      </x:c>
    </x:row>
    <x:row r="344" ht="24" customHeight="1">
      <x:c r="A344" s="14" t="n">
        <x:v>45778</x:v>
      </x:c>
      <x:c r="B344" s="2" t="str">
        <x:v>E-commerce</x:v>
      </x:c>
      <x:c r="C344" s="2" t="str">
        <x:v>Sul</x:v>
      </x:c>
      <x:c r="D344" s="2" t="str">
        <x:v>M-0339</x:v>
      </x:c>
      <x:c r="E344" s="16" t="n">
        <x:v>110</x:v>
      </x:c>
      <x:c r="F344" s="17" t="n">
        <x:v>128268.53</x:v>
      </x:c>
      <x:c r="G344" s="17" t="n">
        <x:v>5202</x:v>
      </x:c>
      <x:c r="H344" s="17" t="n">
        <x:v>3078.44</x:v>
      </x:c>
      <x:c r="I344" s="17" t="n">
        <x:v>119988.09</x:v>
      </x:c>
      <x:c r="J344" s="17" t="n">
        <x:v>71477.08</x:v>
      </x:c>
      <x:c r="K344" s="17" t="n">
        <x:v>8159.19</x:v>
      </x:c>
      <x:c r="L344" s="17" t="n">
        <x:v>2879.71</x:v>
      </x:c>
      <x:c r="M344" s="17" t="n">
        <x:v>8999.11</x:v>
      </x:c>
      <x:c r="N344" s="16" t="n">
        <x:v>57</x:v>
      </x:c>
      <x:c r="O344" s="16" t="n">
        <x:v>17</x:v>
      </x:c>
      <x:c r="P344" s="16" t="n">
        <x:v>4</x:v>
      </x:c>
      <x:c r="Q344" s="16" t="n">
        <x:v>35</x:v>
      </x:c>
      <x:c r="R344" s="16" t="n">
        <x:v>20</x:v>
      </x:c>
      <x:c r="S344" s="16" t="n">
        <x:v>7</x:v>
      </x:c>
      <x:c r="T344" s="15" t="n">
        <x:f>YEAR(A344)</x:f>
        <x:v>2025</x:v>
      </x:c>
      <x:c r="U344" s="15" t="n">
        <x:f>ROUNDUP(MONTH(A344)/3,0)</x:f>
        <x:v>2</x:v>
      </x:c>
      <x:c r="V344" s="18" t="n">
        <x:f>I344-J344</x:f>
        <x:v>48511.009999999995</x:v>
      </x:c>
      <x:c r="W344" s="19" t="n">
        <x:f>IF(I344=0,"",V344/I344)</x:f>
        <x:v>0.40429854329708886</x:v>
      </x:c>
      <x:c r="X344" s="18" t="n">
        <x:f>I344-J344-K344-L344-M344</x:f>
        <x:v>28472.999999999993</x:v>
      </x:c>
      <x:c r="Y344" s="19" t="n">
        <x:f>IF(I344=0,"",X344/I344)</x:f>
        <x:v>0.23729855188127416</x:v>
      </x:c>
      <x:c r="Z344" s="18" t="n">
        <x:f>IF(E344=0,"",F344/E344)</x:f>
        <x:v>1166.0775454545455</x:v>
      </x:c>
      <x:c r="AA344" s="18" t="n">
        <x:f>IF(N344=0,"",M344/N344)</x:f>
        <x:v>157.87912280701755</x:v>
      </x:c>
      <x:c r="AB344" s="19" t="n">
        <x:f>IF(E344=0,"",O344/E344)</x:f>
        <x:v>0.15454545454545454</x:v>
      </x:c>
      <x:c r="AC344" s="19" t="n">
        <x:f>IF(E344=0,"",P344/E344)</x:f>
        <x:v>0.03636363636363636</x:v>
      </x:c>
      <x:c r="AD344" s="20" t="n">
        <x:f>IF(Q344=0,"",100*(R344-S344)/Q344)</x:f>
        <x:v>37.142857142857146</x:v>
      </x:c>
      <x:c r="AE344" s="19" t="n">
        <x:f>IF(F344=0,"",G344/F344)</x:f>
        <x:v>0.04055554390465066</x:v>
      </x:c>
      <x:c r="AF344" s="18" t="n">
        <x:f>ROUND(I344-(F344-G344-H344),2)</x:f>
        <x:v>0</x:v>
      </x:c>
    </x:row>
    <x:row r="345" ht="24" customHeight="1">
      <x:c r="A345" s="14" t="n">
        <x:v>45778</x:v>
      </x:c>
      <x:c r="B345" s="2" t="str">
        <x:v>E-commerce</x:v>
      </x:c>
      <x:c r="C345" s="2" t="str">
        <x:v>Centro-Oeste</x:v>
      </x:c>
      <x:c r="D345" s="2" t="str">
        <x:v>M-0340</x:v>
      </x:c>
      <x:c r="E345" s="16" t="n">
        <x:v>93</x:v>
      </x:c>
      <x:c r="F345" s="17" t="n">
        <x:v>107723.73</x:v>
      </x:c>
      <x:c r="G345" s="17" t="n">
        <x:v>4368.8</x:v>
      </x:c>
      <x:c r="H345" s="17" t="n">
        <x:v>2585.37</x:v>
      </x:c>
      <x:c r="I345" s="17" t="n">
        <x:v>100769.56</x:v>
      </x:c>
      <x:c r="J345" s="17" t="n">
        <x:v>63103.21</x:v>
      </x:c>
      <x:c r="K345" s="17" t="n">
        <x:v>6852.33</x:v>
      </x:c>
      <x:c r="L345" s="17" t="n">
        <x:v>2418.47</x:v>
      </x:c>
      <x:c r="M345" s="17" t="n">
        <x:v>7557.72</x:v>
      </x:c>
      <x:c r="N345" s="16" t="n">
        <x:v>48</x:v>
      </x:c>
      <x:c r="O345" s="16" t="n">
        <x:v>14</x:v>
      </x:c>
      <x:c r="P345" s="16" t="n">
        <x:v>3</x:v>
      </x:c>
      <x:c r="Q345" s="16" t="n">
        <x:v>30</x:v>
      </x:c>
      <x:c r="R345" s="16" t="n">
        <x:v>17</x:v>
      </x:c>
      <x:c r="S345" s="16" t="n">
        <x:v>6</x:v>
      </x:c>
      <x:c r="T345" s="15" t="n">
        <x:f>YEAR(A345)</x:f>
        <x:v>2025</x:v>
      </x:c>
      <x:c r="U345" s="15" t="n">
        <x:f>ROUNDUP(MONTH(A345)/3,0)</x:f>
        <x:v>2</x:v>
      </x:c>
      <x:c r="V345" s="18" t="n">
        <x:f>I345-J345</x:f>
        <x:v>37666.35</x:v>
      </x:c>
      <x:c r="W345" s="19" t="n">
        <x:f>IF(I345=0,"",V345/I345)</x:f>
        <x:v>0.3737869848791639</x:v>
      </x:c>
      <x:c r="X345" s="18" t="n">
        <x:f>I345-J345-K345-L345-M345</x:f>
        <x:v>20837.829999999994</x:v>
      </x:c>
      <x:c r="Y345" s="19" t="n">
        <x:f>IF(I345=0,"",X345/I345)</x:f>
        <x:v>0.20678695034492553</x:v>
      </x:c>
      <x:c r="Z345" s="18" t="n">
        <x:f>IF(E345=0,"",F345/E345)</x:f>
        <x:v>1158.3196774193548</x:v>
      </x:c>
      <x:c r="AA345" s="18" t="n">
        <x:f>IF(N345=0,"",M345/N345)</x:f>
        <x:v>157.45250000000001</x:v>
      </x:c>
      <x:c r="AB345" s="19" t="n">
        <x:f>IF(E345=0,"",O345/E345)</x:f>
        <x:v>0.15053763440860216</x:v>
      </x:c>
      <x:c r="AC345" s="19" t="n">
        <x:f>IF(E345=0,"",P345/E345)</x:f>
        <x:v>0.03225806451612903</x:v>
      </x:c>
      <x:c r="AD345" s="20" t="n">
        <x:f>IF(Q345=0,"",100*(R345-S345)/Q345)</x:f>
        <x:v>36.666666666666664</x:v>
      </x:c>
      <x:c r="AE345" s="19" t="n">
        <x:f>IF(F345=0,"",G345/F345)</x:f>
        <x:v>0.04055559531776332</x:v>
      </x:c>
      <x:c r="AF345" s="18" t="n">
        <x:f>ROUND(I345-(F345-G345-H345),2)</x:f>
        <x:v>0</x:v>
      </x:c>
    </x:row>
    <x:row r="346" ht="24" customHeight="1">
      <x:c r="A346" s="14" t="n">
        <x:v>45778</x:v>
      </x:c>
      <x:c r="B346" s="2" t="str">
        <x:v>Lojas</x:v>
      </x:c>
      <x:c r="C346" s="2" t="str">
        <x:v>Sudeste</x:v>
      </x:c>
      <x:c r="D346" s="2" t="str">
        <x:v>M-0341</x:v>
      </x:c>
      <x:c r="E346" s="16" t="n">
        <x:v>151</x:v>
      </x:c>
      <x:c r="F346" s="17" t="n">
        <x:v>175995.97</x:v>
      </x:c>
      <x:c r="G346" s="17" t="n">
        <x:v>7137.61</x:v>
      </x:c>
      <x:c r="H346" s="17" t="n">
        <x:v>4223.9</x:v>
      </x:c>
      <x:c r="I346" s="17" t="n">
        <x:v>164634.46</x:v>
      </x:c>
      <x:c r="J346" s="17" t="n">
        <x:v>100885.48</x:v>
      </x:c>
      <x:c r="K346" s="17" t="n">
        <x:v>7737.82</x:v>
      </x:c>
      <x:c r="L346" s="17" t="n">
        <x:v>3951.23</x:v>
      </x:c>
      <x:c r="M346" s="17" t="n">
        <x:v>2963.42</x:v>
      </x:c>
      <x:c r="N346" s="16" t="n">
        <x:v>42</x:v>
      </x:c>
      <x:c r="O346" s="16" t="n">
        <x:v>23</x:v>
      </x:c>
      <x:c r="P346" s="16" t="n">
        <x:v>5</x:v>
      </x:c>
      <x:c r="Q346" s="16" t="n">
        <x:v>48</x:v>
      </x:c>
      <x:c r="R346" s="16" t="n">
        <x:v>27</x:v>
      </x:c>
      <x:c r="S346" s="16" t="n">
        <x:v>10</x:v>
      </x:c>
      <x:c r="T346" s="15" t="n">
        <x:f>YEAR(A346)</x:f>
        <x:v>2025</x:v>
      </x:c>
      <x:c r="U346" s="15" t="n">
        <x:f>ROUNDUP(MONTH(A346)/3,0)</x:f>
        <x:v>2</x:v>
      </x:c>
      <x:c r="V346" s="18" t="n">
        <x:f>I346-J346</x:f>
        <x:v>63748.979999999996</x:v>
      </x:c>
      <x:c r="W346" s="19" t="n">
        <x:f>IF(I346=0,"",V346/I346)</x:f>
        <x:v>0.3872152889498347</x:v>
      </x:c>
      <x:c r="X346" s="18" t="n">
        <x:f>I346-J346-K346-L346-M346</x:f>
        <x:v>49096.509999999995</x:v>
      </x:c>
      <x:c r="Y346" s="19" t="n">
        <x:f>IF(I346=0,"",X346/I346)</x:f>
        <x:v>0.2982152703632034</x:v>
      </x:c>
      <x:c r="Z346" s="18" t="n">
        <x:f>IF(E346=0,"",F346/E346)</x:f>
        <x:v>1165.5362251655629</x:v>
      </x:c>
      <x:c r="AA346" s="18" t="n">
        <x:f>IF(N346=0,"",M346/N346)</x:f>
        <x:v>70.55761904761906</x:v>
      </x:c>
      <x:c r="AB346" s="19" t="n">
        <x:f>IF(E346=0,"",O346/E346)</x:f>
        <x:v>0.152317880794702</x:v>
      </x:c>
      <x:c r="AC346" s="19" t="n">
        <x:f>IF(E346=0,"",P346/E346)</x:f>
        <x:v>0.033112582781456956</x:v>
      </x:c>
      <x:c r="AD346" s="20" t="n">
        <x:f>IF(Q346=0,"",100*(R346-S346)/Q346)</x:f>
        <x:v>35.416666666666664</x:v>
      </x:c>
      <x:c r="AE346" s="19" t="n">
        <x:f>IF(F346=0,"",G346/F346)</x:f>
        <x:v>0.04055553090221327</x:v>
      </x:c>
      <x:c r="AF346" s="18" t="n">
        <x:f>ROUND(I346-(F346-G346-H346),2)</x:f>
        <x:v>0</x:v>
      </x:c>
    </x:row>
    <x:row r="347" ht="24" customHeight="1">
      <x:c r="A347" s="14" t="n">
        <x:v>45778</x:v>
      </x:c>
      <x:c r="B347" s="2" t="str">
        <x:v>Lojas</x:v>
      </x:c>
      <x:c r="C347" s="2" t="str">
        <x:v>Nordeste</x:v>
      </x:c>
      <x:c r="D347" s="2" t="str">
        <x:v>M-0342</x:v>
      </x:c>
      <x:c r="E347" s="16" t="n">
        <x:v>110</x:v>
      </x:c>
      <x:c r="F347" s="17" t="n">
        <x:v>127502.13</x:v>
      </x:c>
      <x:c r="G347" s="17" t="n">
        <x:v>5170.92</x:v>
      </x:c>
      <x:c r="H347" s="17" t="n">
        <x:v>3060.05</x:v>
      </x:c>
      <x:c r="I347" s="17" t="n">
        <x:v>119271.16</x:v>
      </x:c>
      <x:c r="J347" s="17" t="n">
        <x:v>73573.45</x:v>
      </x:c>
      <x:c r="K347" s="17" t="n">
        <x:v>5605.74</x:v>
      </x:c>
      <x:c r="L347" s="17" t="n">
        <x:v>2862.51</x:v>
      </x:c>
      <x:c r="M347" s="17" t="n">
        <x:v>2146.88</x:v>
      </x:c>
      <x:c r="N347" s="16" t="n">
        <x:v>31</x:v>
      </x:c>
      <x:c r="O347" s="16" t="n">
        <x:v>17</x:v>
      </x:c>
      <x:c r="P347" s="16" t="n">
        <x:v>4</x:v>
      </x:c>
      <x:c r="Q347" s="16" t="n">
        <x:v>35</x:v>
      </x:c>
      <x:c r="R347" s="16" t="n">
        <x:v>20</x:v>
      </x:c>
      <x:c r="S347" s="16" t="n">
        <x:v>7</x:v>
      </x:c>
      <x:c r="T347" s="15" t="n">
        <x:f>YEAR(A347)</x:f>
        <x:v>2025</x:v>
      </x:c>
      <x:c r="U347" s="15" t="n">
        <x:f>ROUNDUP(MONTH(A347)/3,0)</x:f>
        <x:v>2</x:v>
      </x:c>
      <x:c r="V347" s="18" t="n">
        <x:f>I347-J347</x:f>
        <x:v>45697.71000000001</x:v>
      </x:c>
      <x:c r="W347" s="19" t="n">
        <x:f>IF(I347=0,"",V347/I347)</x:f>
        <x:v>0.38314132268018525</x:v>
      </x:c>
      <x:c r="X347" s="18" t="n">
        <x:f>I347-J347-K347-L347-M347</x:f>
        <x:v>35082.58000000001</x:v>
      </x:c>
      <x:c r="Y347" s="19" t="n">
        <x:f>IF(I347=0,"",X347/I347)</x:f>
        <x:v>0.29414134984517637</x:v>
      </x:c>
      <x:c r="Z347" s="18" t="n">
        <x:f>IF(E347=0,"",F347/E347)</x:f>
        <x:v>1159.1102727272728</x:v>
      </x:c>
      <x:c r="AA347" s="18" t="n">
        <x:f>IF(N347=0,"",M347/N347)</x:f>
        <x:v>69.25419354838711</x:v>
      </x:c>
      <x:c r="AB347" s="19" t="n">
        <x:f>IF(E347=0,"",O347/E347)</x:f>
        <x:v>0.15454545454545454</x:v>
      </x:c>
      <x:c r="AC347" s="19" t="n">
        <x:f>IF(E347=0,"",P347/E347)</x:f>
        <x:v>0.03636363636363636</x:v>
      </x:c>
      <x:c r="AD347" s="20" t="n">
        <x:f>IF(Q347=0,"",100*(R347-S347)/Q347)</x:f>
        <x:v>37.142857142857146</x:v>
      </x:c>
      <x:c r="AE347" s="19" t="n">
        <x:f>IF(F347=0,"",G347/F347)</x:f>
        <x:v>0.040555557777740656</x:v>
      </x:c>
      <x:c r="AF347" s="18" t="n">
        <x:f>ROUND(I347-(F347-G347-H347),2)</x:f>
        <x:v>0</x:v>
      </x:c>
    </x:row>
    <x:row r="348" ht="24" customHeight="1">
      <x:c r="A348" s="14" t="n">
        <x:v>45778</x:v>
      </x:c>
      <x:c r="B348" s="2" t="str">
        <x:v>Lojas</x:v>
      </x:c>
      <x:c r="C348" s="2" t="str">
        <x:v>Sul</x:v>
      </x:c>
      <x:c r="D348" s="2" t="str">
        <x:v>M-0343</x:v>
      </x:c>
      <x:c r="E348" s="16" t="n">
        <x:v>98</x:v>
      </x:c>
      <x:c r="F348" s="17" t="n">
        <x:v>113497.91</x:v>
      </x:c>
      <x:c r="G348" s="17" t="n">
        <x:v>4602.97</x:v>
      </x:c>
      <x:c r="H348" s="17" t="n">
        <x:v>2723.95</x:v>
      </x:c>
      <x:c r="I348" s="17" t="n">
        <x:v>106170.99</x:v>
      </x:c>
      <x:c r="J348" s="17" t="n">
        <x:v>63657.06</x:v>
      </x:c>
      <x:c r="K348" s="17" t="n">
        <x:v>4990.04</x:v>
      </x:c>
      <x:c r="L348" s="17" t="n">
        <x:v>2548.1</x:v>
      </x:c>
      <x:c r="M348" s="17" t="n">
        <x:v>1911.08</x:v>
      </x:c>
      <x:c r="N348" s="16" t="n">
        <x:v>27</x:v>
      </x:c>
      <x:c r="O348" s="16" t="n">
        <x:v>15</x:v>
      </x:c>
      <x:c r="P348" s="16" t="n">
        <x:v>3</x:v>
      </x:c>
      <x:c r="Q348" s="16" t="n">
        <x:v>31</x:v>
      </x:c>
      <x:c r="R348" s="16" t="n">
        <x:v>18</x:v>
      </x:c>
      <x:c r="S348" s="16" t="n">
        <x:v>7</x:v>
      </x:c>
      <x:c r="T348" s="15" t="n">
        <x:f>YEAR(A348)</x:f>
        <x:v>2025</x:v>
      </x:c>
      <x:c r="U348" s="15" t="n">
        <x:f>ROUNDUP(MONTH(A348)/3,0)</x:f>
        <x:v>2</x:v>
      </x:c>
      <x:c r="V348" s="18" t="n">
        <x:f>I348-J348</x:f>
        <x:v>42513.93000000001</x:v>
      </x:c>
      <x:c r="W348" s="19" t="n">
        <x:f>IF(I348=0,"",V348/I348)</x:f>
        <x:v>0.40042887421507517</x:v>
      </x:c>
      <x:c r="X348" s="18" t="n">
        <x:f>I348-J348-K348-L348-M348</x:f>
        <x:v>33064.71000000001</x:v>
      </x:c>
      <x:c r="Y348" s="19" t="n">
        <x:f>IF(I348=0,"",X348/I348)</x:f>
        <x:v>0.3114288564136023</x:v>
      </x:c>
      <x:c r="Z348" s="18" t="n">
        <x:f>IF(E348=0,"",F348/E348)</x:f>
        <x:v>1158.1419387755102</x:v>
      </x:c>
      <x:c r="AA348" s="18" t="n">
        <x:f>IF(N348=0,"",M348/N348)</x:f>
        <x:v>70.78074074074074</x:v>
      </x:c>
      <x:c r="AB348" s="19" t="n">
        <x:f>IF(E348=0,"",O348/E348)</x:f>
        <x:v>0.15306122448979592</x:v>
      </x:c>
      <x:c r="AC348" s="19" t="n">
        <x:f>IF(E348=0,"",P348/E348)</x:f>
        <x:v>0.030612244897959183</x:v>
      </x:c>
      <x:c r="AD348" s="20" t="n">
        <x:f>IF(Q348=0,"",100*(R348-S348)/Q348)</x:f>
        <x:v>35.483870967741936</x:v>
      </x:c>
      <x:c r="AE348" s="19" t="n">
        <x:f>IF(F348=0,"",G348/F348)</x:f>
        <x:v>0.04055554855591614</x:v>
      </x:c>
      <x:c r="AF348" s="18" t="n">
        <x:f>ROUND(I348-(F348-G348-H348),2)</x:f>
        <x:v>0</x:v>
      </x:c>
    </x:row>
    <x:row r="349" ht="24" customHeight="1">
      <x:c r="A349" s="14" t="n">
        <x:v>45778</x:v>
      </x:c>
      <x:c r="B349" s="2" t="str">
        <x:v>Lojas</x:v>
      </x:c>
      <x:c r="C349" s="2" t="str">
        <x:v>Centro-Oeste</x:v>
      </x:c>
      <x:c r="D349" s="2" t="str">
        <x:v>M-0344</x:v>
      </x:c>
      <x:c r="E349" s="16" t="n">
        <x:v>77</x:v>
      </x:c>
      <x:c r="F349" s="17" t="n">
        <x:v>89625.58</x:v>
      </x:c>
      <x:c r="G349" s="17" t="n">
        <x:v>3634.82</x:v>
      </x:c>
      <x:c r="H349" s="17" t="n">
        <x:v>2151.01</x:v>
      </x:c>
      <x:c r="I349" s="17" t="n">
        <x:v>83839.75</x:v>
      </x:c>
      <x:c r="J349" s="17" t="n">
        <x:v>52489.79</x:v>
      </x:c>
      <x:c r="K349" s="17" t="n">
        <x:v>3940.47</x:v>
      </x:c>
      <x:c r="L349" s="17" t="n">
        <x:v>2012.15</x:v>
      </x:c>
      <x:c r="M349" s="17" t="n">
        <x:v>1509.12</x:v>
      </x:c>
      <x:c r="N349" s="16" t="n">
        <x:v>22</x:v>
      </x:c>
      <x:c r="O349" s="16" t="n">
        <x:v>12</x:v>
      </x:c>
      <x:c r="P349" s="16" t="n">
        <x:v>2</x:v>
      </x:c>
      <x:c r="Q349" s="16" t="n">
        <x:v>25</x:v>
      </x:c>
      <x:c r="R349" s="16" t="n">
        <x:v>14</x:v>
      </x:c>
      <x:c r="S349" s="16" t="n">
        <x:v>5</x:v>
      </x:c>
      <x:c r="T349" s="15" t="n">
        <x:f>YEAR(A349)</x:f>
        <x:v>2025</x:v>
      </x:c>
      <x:c r="U349" s="15" t="n">
        <x:f>ROUNDUP(MONTH(A349)/3,0)</x:f>
        <x:v>2</x:v>
      </x:c>
      <x:c r="V349" s="18" t="n">
        <x:f>I349-J349</x:f>
        <x:v>31349.96</x:v>
      </x:c>
      <x:c r="W349" s="19" t="n">
        <x:f>IF(I349=0,"",V349/I349)</x:f>
        <x:v>0.3739271646206006</x:v>
      </x:c>
      <x:c r="X349" s="18" t="n">
        <x:f>I349-J349-K349-L349-M349</x:f>
        <x:v>23888.219999999998</x:v>
      </x:c>
      <x:c r="Y349" s="19" t="n">
        <x:f>IF(I349=0,"",X349/I349)</x:f>
        <x:v>0.2849271377836885</x:v>
      </x:c>
      <x:c r="Z349" s="18" t="n">
        <x:f>IF(E349=0,"",F349/E349)</x:f>
        <x:v>1163.9685714285715</x:v>
      </x:c>
      <x:c r="AA349" s="18" t="n">
        <x:f>IF(N349=0,"",M349/N349)</x:f>
        <x:v>68.59636363636363</x:v>
      </x:c>
      <x:c r="AB349" s="19" t="n">
        <x:f>IF(E349=0,"",O349/E349)</x:f>
        <x:v>0.15584415584415584</x:v>
      </x:c>
      <x:c r="AC349" s="19" t="n">
        <x:f>IF(E349=0,"",P349/E349)</x:f>
        <x:v>0.025974025974025976</x:v>
      </x:c>
      <x:c r="AD349" s="20" t="n">
        <x:f>IF(Q349=0,"",100*(R349-S349)/Q349)</x:f>
        <x:v>36</x:v>
      </x:c>
      <x:c r="AE349" s="19" t="n">
        <x:f>IF(F349=0,"",G349/F349)</x:f>
        <x:v>0.040555609235666874</x:v>
      </x:c>
      <x:c r="AF349" s="18" t="n">
        <x:f>ROUND(I349-(F349-G349-H349),2)</x:f>
        <x:v>0</x:v>
      </x:c>
    </x:row>
    <x:row r="350" ht="24" customHeight="1">
      <x:c r="A350" s="14" t="n">
        <x:v>45778</x:v>
      </x:c>
      <x:c r="B350" s="2" t="str">
        <x:v>B2B</x:v>
      </x:c>
      <x:c r="C350" s="2" t="str">
        <x:v>Sudeste</x:v>
      </x:c>
      <x:c r="D350" s="2" t="str">
        <x:v>M-0345</x:v>
      </x:c>
      <x:c r="E350" s="16" t="n">
        <x:v>111</x:v>
      </x:c>
      <x:c r="F350" s="17" t="n">
        <x:v>128999.27</x:v>
      </x:c>
      <x:c r="G350" s="17" t="n">
        <x:v>5231.64</x:v>
      </x:c>
      <x:c r="H350" s="17" t="n">
        <x:v>3095.98</x:v>
      </x:c>
      <x:c r="I350" s="17" t="n">
        <x:v>120671.65</x:v>
      </x:c>
      <x:c r="J350" s="17" t="n">
        <x:v>72107.84</x:v>
      </x:c>
      <x:c r="K350" s="17" t="n">
        <x:v>5671.57</x:v>
      </x:c>
      <x:c r="L350" s="17" t="n">
        <x:v>2896.12</x:v>
      </x:c>
      <x:c r="M350" s="17" t="n">
        <x:v>2172.09</x:v>
      </x:c>
      <x:c r="N350" s="16" t="n">
        <x:v>31</x:v>
      </x:c>
      <x:c r="O350" s="16" t="n">
        <x:v>17</x:v>
      </x:c>
      <x:c r="P350" s="16" t="n">
        <x:v>4</x:v>
      </x:c>
      <x:c r="Q350" s="16" t="n">
        <x:v>36</x:v>
      </x:c>
      <x:c r="R350" s="16" t="n">
        <x:v>21</x:v>
      </x:c>
      <x:c r="S350" s="16" t="n">
        <x:v>8</x:v>
      </x:c>
      <x:c r="T350" s="15" t="n">
        <x:f>YEAR(A350)</x:f>
        <x:v>2025</x:v>
      </x:c>
      <x:c r="U350" s="15" t="n">
        <x:f>ROUNDUP(MONTH(A350)/3,0)</x:f>
        <x:v>2</x:v>
      </x:c>
      <x:c r="V350" s="18" t="n">
        <x:f>I350-J350</x:f>
        <x:v>48563.81</x:v>
      </x:c>
      <x:c r="W350" s="19" t="n">
        <x:f>IF(I350=0,"",V350/I350)</x:f>
        <x:v>0.40244589346379206</x:v>
      </x:c>
      <x:c r="X350" s="18" t="n">
        <x:f>I350-J350-K350-L350-M350</x:f>
        <x:v>37824.03</x:v>
      </x:c>
      <x:c r="Y350" s="19" t="n">
        <x:f>IF(I350=0,"",X350/I350)</x:f>
        <x:v>0.3134458673598977</x:v>
      </x:c>
      <x:c r="Z350" s="18" t="n">
        <x:f>IF(E350=0,"",F350/E350)</x:f>
        <x:v>1162.1555855855856</x:v>
      </x:c>
      <x:c r="AA350" s="18" t="n">
        <x:f>IF(N350=0,"",M350/N350)</x:f>
        <x:v>70.06741935483872</x:v>
      </x:c>
      <x:c r="AB350" s="19" t="n">
        <x:f>IF(E350=0,"",O350/E350)</x:f>
        <x:v>0.15315315315315314</x:v>
      </x:c>
      <x:c r="AC350" s="19" t="n">
        <x:f>IF(E350=0,"",P350/E350)</x:f>
        <x:v>0.036036036036036036</x:v>
      </x:c>
      <x:c r="AD350" s="20" t="n">
        <x:f>IF(Q350=0,"",100*(R350-S350)/Q350)</x:f>
        <x:v>36.111111111111114</x:v>
      </x:c>
      <x:c r="AE350" s="19" t="n">
        <x:f>IF(F350=0,"",G350/F350)</x:f>
        <x:v>0.04055557833776889</x:v>
      </x:c>
      <x:c r="AF350" s="18" t="n">
        <x:f>ROUND(I350-(F350-G350-H350),2)</x:f>
        <x:v>0</x:v>
      </x:c>
    </x:row>
    <x:row r="351" ht="24" customHeight="1">
      <x:c r="A351" s="14" t="n">
        <x:v>45778</x:v>
      </x:c>
      <x:c r="B351" s="2" t="str">
        <x:v>B2B</x:v>
      </x:c>
      <x:c r="C351" s="2" t="str">
        <x:v>Nordeste</x:v>
      </x:c>
      <x:c r="D351" s="2" t="str">
        <x:v>M-0346</x:v>
      </x:c>
      <x:c r="E351" s="16" t="n">
        <x:v>79</x:v>
      </x:c>
      <x:c r="F351" s="17" t="n">
        <x:v>92237.9</x:v>
      </x:c>
      <x:c r="G351" s="17" t="n">
        <x:v>3740.76</x:v>
      </x:c>
      <x:c r="H351" s="17" t="n">
        <x:v>2213.71</x:v>
      </x:c>
      <x:c r="I351" s="17" t="n">
        <x:v>86283.43</x:v>
      </x:c>
      <x:c r="J351" s="17" t="n">
        <x:v>52816.9</x:v>
      </x:c>
      <x:c r="K351" s="17" t="n">
        <x:v>4055.32</x:v>
      </x:c>
      <x:c r="L351" s="17" t="n">
        <x:v>2070.8</x:v>
      </x:c>
      <x:c r="M351" s="17" t="n">
        <x:v>1553.1</x:v>
      </x:c>
      <x:c r="N351" s="16" t="n">
        <x:v>22</x:v>
      </x:c>
      <x:c r="O351" s="16" t="n">
        <x:v>12</x:v>
      </x:c>
      <x:c r="P351" s="16" t="n">
        <x:v>3</x:v>
      </x:c>
      <x:c r="Q351" s="16" t="n">
        <x:v>25</x:v>
      </x:c>
      <x:c r="R351" s="16" t="n">
        <x:v>14</x:v>
      </x:c>
      <x:c r="S351" s="16" t="n">
        <x:v>5</x:v>
      </x:c>
      <x:c r="T351" s="15" t="n">
        <x:f>YEAR(A351)</x:f>
        <x:v>2025</x:v>
      </x:c>
      <x:c r="U351" s="15" t="n">
        <x:f>ROUNDUP(MONTH(A351)/3,0)</x:f>
        <x:v>2</x:v>
      </x:c>
      <x:c r="V351" s="18" t="n">
        <x:f>I351-J351</x:f>
        <x:v>33466.52999999999</x:v>
      </x:c>
      <x:c r="W351" s="19" t="n">
        <x:f>IF(I351=0,"",V351/I351)</x:f>
        <x:v>0.3878674039731614</x:v>
      </x:c>
      <x:c r="X351" s="18" t="n">
        <x:f>I351-J351-K351-L351-M351</x:f>
        <x:v>25787.309999999994</x:v>
      </x:c>
      <x:c r="Y351" s="19" t="n">
        <x:f>IF(I351=0,"",X351/I351)</x:f>
        <x:v>0.2988674650509373</x:v>
      </x:c>
      <x:c r="Z351" s="18" t="n">
        <x:f>IF(E351=0,"",F351/E351)</x:f>
        <x:v>1167.5683544303797</x:v>
      </x:c>
      <x:c r="AA351" s="18" t="n">
        <x:f>IF(N351=0,"",M351/N351)</x:f>
        <x:v>70.59545454545454</x:v>
      </x:c>
      <x:c r="AB351" s="19" t="n">
        <x:f>IF(E351=0,"",O351/E351)</x:f>
        <x:v>0.1518987341772152</x:v>
      </x:c>
      <x:c r="AC351" s="19" t="n">
        <x:f>IF(E351=0,"",P351/E351)</x:f>
        <x:v>0.0379746835443038</x:v>
      </x:c>
      <x:c r="AD351" s="20" t="n">
        <x:f>IF(Q351=0,"",100*(R351-S351)/Q351)</x:f>
        <x:v>36</x:v>
      </x:c>
      <x:c r="AE351" s="19" t="n">
        <x:f>IF(F351=0,"",G351/F351)</x:f>
        <x:v>0.04055556338554976</x:v>
      </x:c>
      <x:c r="AF351" s="18" t="n">
        <x:f>ROUND(I351-(F351-G351-H351),2)</x:f>
        <x:v>0</x:v>
      </x:c>
    </x:row>
    <x:row r="352" ht="24" customHeight="1">
      <x:c r="A352" s="14" t="n">
        <x:v>45778</x:v>
      </x:c>
      <x:c r="B352" s="2" t="str">
        <x:v>B2B</x:v>
      </x:c>
      <x:c r="C352" s="2" t="str">
        <x:v>Sul</x:v>
      </x:c>
      <x:c r="D352" s="2" t="str">
        <x:v>M-0347</x:v>
      </x:c>
      <x:c r="E352" s="16" t="n">
        <x:v>58</x:v>
      </x:c>
      <x:c r="F352" s="17" t="n">
        <x:v>67017.99</x:v>
      </x:c>
      <x:c r="G352" s="17" t="n">
        <x:v>2717.95</x:v>
      </x:c>
      <x:c r="H352" s="17" t="n">
        <x:v>1608.43</x:v>
      </x:c>
      <x:c r="I352" s="17" t="n">
        <x:v>62691.61</x:v>
      </x:c>
      <x:c r="J352" s="17" t="n">
        <x:v>36650.96</x:v>
      </x:c>
      <x:c r="K352" s="17" t="n">
        <x:v>2946.51</x:v>
      </x:c>
      <x:c r="L352" s="17" t="n">
        <x:v>1504.6</x:v>
      </x:c>
      <x:c r="M352" s="17" t="n">
        <x:v>1128.45</x:v>
      </x:c>
      <x:c r="N352" s="16" t="n">
        <x:v>16</x:v>
      </x:c>
      <x:c r="O352" s="16" t="n">
        <x:v>9</x:v>
      </x:c>
      <x:c r="P352" s="16" t="n">
        <x:v>2</x:v>
      </x:c>
      <x:c r="Q352" s="16" t="n">
        <x:v>19</x:v>
      </x:c>
      <x:c r="R352" s="16" t="n">
        <x:v>11</x:v>
      </x:c>
      <x:c r="S352" s="16" t="n">
        <x:v>4</x:v>
      </x:c>
      <x:c r="T352" s="15" t="n">
        <x:f>YEAR(A352)</x:f>
        <x:v>2025</x:v>
      </x:c>
      <x:c r="U352" s="15" t="n">
        <x:f>ROUNDUP(MONTH(A352)/3,0)</x:f>
        <x:v>2</x:v>
      </x:c>
      <x:c r="V352" s="18" t="n">
        <x:f>I352-J352</x:f>
        <x:v>26040.65</x:v>
      </x:c>
      <x:c r="W352" s="19" t="n">
        <x:f>IF(I352=0,"",V352/I352)</x:f>
        <x:v>0.4153769539496593</x:v>
      </x:c>
      <x:c r="X352" s="18" t="n">
        <x:f>I352-J352-K352-L352-M352</x:f>
        <x:v>20461.09</x:v>
      </x:c>
      <x:c r="Y352" s="19" t="n">
        <x:f>IF(I352=0,"",X352/I352)</x:f>
        <x:v>0.3263768469177933</x:v>
      </x:c>
      <x:c r="Z352" s="18" t="n">
        <x:f>IF(E352=0,"",F352/E352)</x:f>
        <x:v>1155.4825862068967</x:v>
      </x:c>
      <x:c r="AA352" s="18" t="n">
        <x:f>IF(N352=0,"",M352/N352)</x:f>
        <x:v>70.528125</x:v>
      </x:c>
      <x:c r="AB352" s="19" t="n">
        <x:f>IF(E352=0,"",O352/E352)</x:f>
        <x:v>0.15517241379310345</x:v>
      </x:c>
      <x:c r="AC352" s="19" t="n">
        <x:f>IF(E352=0,"",P352/E352)</x:f>
        <x:v>0.034482758620689655</x:v>
      </x:c>
      <x:c r="AD352" s="20" t="n">
        <x:f>IF(Q352=0,"",100*(R352-S352)/Q352)</x:f>
        <x:v>36.8421052631579</x:v>
      </x:c>
      <x:c r="AE352" s="19" t="n">
        <x:f>IF(F352=0,"",G352/F352)</x:f>
        <x:v>0.04055552844840616</x:v>
      </x:c>
      <x:c r="AF352" s="18" t="n">
        <x:f>ROUND(I352-(F352-G352-H352),2)</x:f>
        <x:v>0</x:v>
      </x:c>
    </x:row>
    <x:row r="353" ht="24" customHeight="1">
      <x:c r="A353" s="14" t="n">
        <x:v>45778</x:v>
      </x:c>
      <x:c r="B353" s="2" t="str">
        <x:v>B2B</x:v>
      </x:c>
      <x:c r="C353" s="2" t="str">
        <x:v>Centro-Oeste</x:v>
      </x:c>
      <x:c r="D353" s="2" t="str">
        <x:v>M-0348</x:v>
      </x:c>
      <x:c r="E353" s="16" t="n">
        <x:v>41</x:v>
      </x:c>
      <x:c r="F353" s="17" t="n">
        <x:v>47966.61</x:v>
      </x:c>
      <x:c r="G353" s="17" t="n">
        <x:v>1945.31</x:v>
      </x:c>
      <x:c r="H353" s="17" t="n">
        <x:v>1151.2</x:v>
      </x:c>
      <x:c r="I353" s="17" t="n">
        <x:v>44870.1</x:v>
      </x:c>
      <x:c r="J353" s="17" t="n">
        <x:v>26160.98</x:v>
      </x:c>
      <x:c r="K353" s="17" t="n">
        <x:v>2108.89</x:v>
      </x:c>
      <x:c r="L353" s="17" t="n">
        <x:v>1076.88</x:v>
      </x:c>
      <x:c r="M353" s="17" t="n">
        <x:v>807.66</x:v>
      </x:c>
      <x:c r="N353" s="16" t="n">
        <x:v>11</x:v>
      </x:c>
      <x:c r="O353" s="16" t="n">
        <x:v>6</x:v>
      </x:c>
      <x:c r="P353" s="16" t="n">
        <x:v>1</x:v>
      </x:c>
      <x:c r="Q353" s="16" t="n">
        <x:v>13</x:v>
      </x:c>
      <x:c r="R353" s="16" t="n">
        <x:v>7</x:v>
      </x:c>
      <x:c r="S353" s="16" t="n">
        <x:v>3</x:v>
      </x:c>
      <x:c r="T353" s="15" t="n">
        <x:f>YEAR(A353)</x:f>
        <x:v>2025</x:v>
      </x:c>
      <x:c r="U353" s="15" t="n">
        <x:f>ROUNDUP(MONTH(A353)/3,0)</x:f>
        <x:v>2</x:v>
      </x:c>
      <x:c r="V353" s="18" t="n">
        <x:f>I353-J353</x:f>
        <x:v>18709.12</x:v>
      </x:c>
      <x:c r="W353" s="19" t="n">
        <x:f>IF(I353=0,"",V353/I353)</x:f>
        <x:v>0.4169618521019565</x:v>
      </x:c>
      <x:c r="X353" s="18" t="n">
        <x:f>I353-J353-K353-L353-M353</x:f>
        <x:v>14715.689999999999</x:v>
      </x:c>
      <x:c r="Y353" s="19" t="n">
        <x:f>IF(I353=0,"",X353/I353)</x:f>
        <x:v>0.32796205045230564</x:v>
      </x:c>
      <x:c r="Z353" s="18" t="n">
        <x:f>IF(E353=0,"",F353/E353)</x:f>
        <x:v>1169.9173170731708</x:v>
      </x:c>
      <x:c r="AA353" s="18" t="n">
        <x:f>IF(N353=0,"",M353/N353)</x:f>
        <x:v>73.42363636363636</x:v>
      </x:c>
      <x:c r="AB353" s="19" t="n">
        <x:f>IF(E353=0,"",O353/E353)</x:f>
        <x:v>0.14634146341463414</x:v>
      </x:c>
      <x:c r="AC353" s="19" t="n">
        <x:f>IF(E353=0,"",P353/E353)</x:f>
        <x:v>0.024390243902439025</x:v>
      </x:c>
      <x:c r="AD353" s="20" t="n">
        <x:f>IF(Q353=0,"",100*(R353-S353)/Q353)</x:f>
        <x:v>30.76923076923077</x:v>
      </x:c>
      <x:c r="AE353" s="19" t="n">
        <x:f>IF(F353=0,"",G353/F353)</x:f>
        <x:v>0.04055550308850261</x:v>
      </x:c>
      <x:c r="AF353" s="18" t="n">
        <x:f>ROUND(I353-(F353-G353-H353),2)</x:f>
        <x:v>0</x:v>
      </x:c>
    </x:row>
    <x:row r="354" ht="24" customHeight="1">
      <x:c r="A354" s="14" t="n">
        <x:v>45809</x:v>
      </x:c>
      <x:c r="B354" s="2" t="str">
        <x:v>E-commerce</x:v>
      </x:c>
      <x:c r="C354" s="2" t="str">
        <x:v>Sudeste</x:v>
      </x:c>
      <x:c r="D354" s="2" t="str">
        <x:v>M-0349</x:v>
      </x:c>
      <x:c r="E354" s="16" t="n">
        <x:v>214</x:v>
      </x:c>
      <x:c r="F354" s="17" t="n">
        <x:v>248805.86</x:v>
      </x:c>
      <x:c r="G354" s="17" t="n">
        <x:v>10228.69</x:v>
      </x:c>
      <x:c r="H354" s="17" t="n">
        <x:v>6095.74</x:v>
      </x:c>
      <x:c r="I354" s="17" t="n">
        <x:v>232481.43</x:v>
      </x:c>
      <x:c r="J354" s="17" t="n">
        <x:v>145395.44</x:v>
      </x:c>
      <x:c r="K354" s="17" t="n">
        <x:v>16041.22</x:v>
      </x:c>
      <x:c r="L354" s="17" t="n">
        <x:v>5579.55</x:v>
      </x:c>
      <x:c r="M354" s="17" t="n">
        <x:v>17436.11</x:v>
      </x:c>
      <x:c r="N354" s="16" t="n">
        <x:v>111</x:v>
      </x:c>
      <x:c r="O354" s="16" t="n">
        <x:v>33</x:v>
      </x:c>
      <x:c r="P354" s="16" t="n">
        <x:v>7</x:v>
      </x:c>
      <x:c r="Q354" s="16" t="n">
        <x:v>68</x:v>
      </x:c>
      <x:c r="R354" s="16" t="n">
        <x:v>38</x:v>
      </x:c>
      <x:c r="S354" s="16" t="n">
        <x:v>15</x:v>
      </x:c>
      <x:c r="T354" s="15" t="n">
        <x:f>YEAR(A354)</x:f>
        <x:v>2025</x:v>
      </x:c>
      <x:c r="U354" s="15" t="n">
        <x:f>ROUNDUP(MONTH(A354)/3,0)</x:f>
        <x:v>2</x:v>
      </x:c>
      <x:c r="V354" s="18" t="n">
        <x:f>I354-J354</x:f>
        <x:v>87085.98999999999</x:v>
      </x:c>
      <x:c r="W354" s="19" t="n">
        <x:f>IF(I354=0,"",V354/I354)</x:f>
        <x:v>0.3745933169801992</x:v>
      </x:c>
      <x:c r="X354" s="18" t="n">
        <x:f>I354-J354-K354-L354-M354</x:f>
        <x:v>48029.109999999986</x:v>
      </x:c>
      <x:c r="Y354" s="19" t="n">
        <x:f>IF(I354=0,"",X354/I354)</x:f>
        <x:v>0.2065933180125397</x:v>
      </x:c>
      <x:c r="Z354" s="18" t="n">
        <x:f>IF(E354=0,"",F354/E354)</x:f>
        <x:v>1162.6442056074766</x:v>
      </x:c>
      <x:c r="AA354" s="18" t="n">
        <x:f>IF(N354=0,"",M354/N354)</x:f>
        <x:v>157.08207207207207</x:v>
      </x:c>
      <x:c r="AB354" s="19" t="n">
        <x:f>IF(E354=0,"",O354/E354)</x:f>
        <x:v>0.1542056074766355</x:v>
      </x:c>
      <x:c r="AC354" s="19" t="n">
        <x:f>IF(E354=0,"",P354/E354)</x:f>
        <x:v>0.03271028037383177</x:v>
      </x:c>
      <x:c r="AD354" s="20" t="n">
        <x:f>IF(Q354=0,"",100*(R354-S354)/Q354)</x:f>
        <x:v>33.8235294117647</x:v>
      </x:c>
      <x:c r="AE354" s="19" t="n">
        <x:f>IF(F354=0,"",G354/F354)</x:f>
        <x:v>0.04111112977805266</x:v>
      </x:c>
      <x:c r="AF354" s="18" t="n">
        <x:f>ROUND(I354-(F354-G354-H354),2)</x:f>
        <x:v>0</x:v>
      </x:c>
    </x:row>
    <x:row r="355" ht="24" customHeight="1">
      <x:c r="A355" s="14" t="n">
        <x:v>45809</x:v>
      </x:c>
      <x:c r="B355" s="2" t="str">
        <x:v>E-commerce</x:v>
      </x:c>
      <x:c r="C355" s="2" t="str">
        <x:v>Nordeste</x:v>
      </x:c>
      <x:c r="D355" s="2" t="str">
        <x:v>M-0350</x:v>
      </x:c>
      <x:c r="E355" s="16" t="n">
        <x:v>128</x:v>
      </x:c>
      <x:c r="F355" s="17" t="n">
        <x:v>149175.51</x:v>
      </x:c>
      <x:c r="G355" s="17" t="n">
        <x:v>6132.77</x:v>
      </x:c>
      <x:c r="H355" s="17" t="n">
        <x:v>3654.8</x:v>
      </x:c>
      <x:c r="I355" s="17" t="n">
        <x:v>139387.94</x:v>
      </x:c>
      <x:c r="J355" s="17" t="n">
        <x:v>88535.6</x:v>
      </x:c>
      <x:c r="K355" s="17" t="n">
        <x:v>9617.77</x:v>
      </x:c>
      <x:c r="L355" s="17" t="n">
        <x:v>3345.31</x:v>
      </x:c>
      <x:c r="M355" s="17" t="n">
        <x:v>10454.1</x:v>
      </x:c>
      <x:c r="N355" s="16" t="n">
        <x:v>67</x:v>
      </x:c>
      <x:c r="O355" s="16" t="n">
        <x:v>20</x:v>
      </x:c>
      <x:c r="P355" s="16" t="n">
        <x:v>4</x:v>
      </x:c>
      <x:c r="Q355" s="16" t="n">
        <x:v>41</x:v>
      </x:c>
      <x:c r="R355" s="16" t="n">
        <x:v>23</x:v>
      </x:c>
      <x:c r="S355" s="16" t="n">
        <x:v>9</x:v>
      </x:c>
      <x:c r="T355" s="15" t="n">
        <x:f>YEAR(A355)</x:f>
        <x:v>2025</x:v>
      </x:c>
      <x:c r="U355" s="15" t="n">
        <x:f>ROUNDUP(MONTH(A355)/3,0)</x:f>
        <x:v>2</x:v>
      </x:c>
      <x:c r="V355" s="18" t="n">
        <x:f>I355-J355</x:f>
        <x:v>50852.34</x:v>
      </x:c>
      <x:c r="W355" s="19" t="n">
        <x:f>IF(I355=0,"",V355/I355)</x:f>
        <x:v>0.3648259670097714</x:v>
      </x:c>
      <x:c r="X355" s="18" t="n">
        <x:f>I355-J355-K355-L355-M355</x:f>
        <x:v>27435.159999999996</x:v>
      </x:c>
      <x:c r="Y355" s="19" t="n">
        <x:f>IF(I355=0,"",X355/I355)</x:f>
        <x:v>0.19682592339050275</x:v>
      </x:c>
      <x:c r="Z355" s="18" t="n">
        <x:f>IF(E355=0,"",F355/E355)</x:f>
        <x:v>1165.433671875</x:v>
      </x:c>
      <x:c r="AA355" s="18" t="n">
        <x:f>IF(N355=0,"",M355/N355)</x:f>
        <x:v>156.0313432835821</x:v>
      </x:c>
      <x:c r="AB355" s="19" t="n">
        <x:f>IF(E355=0,"",O355/E355)</x:f>
        <x:v>0.15625</x:v>
      </x:c>
      <x:c r="AC355" s="19" t="n">
        <x:f>IF(E355=0,"",P355/E355)</x:f>
        <x:v>0.03125</x:v>
      </x:c>
      <x:c r="AD355" s="20" t="n">
        <x:f>IF(Q355=0,"",100*(R355-S355)/Q355)</x:f>
        <x:v>34.146341463414636</x:v>
      </x:c>
      <x:c r="AE355" s="19" t="n">
        <x:f>IF(F355=0,"",G355/F355)</x:f>
        <x:v>0.041111104631048355</x:v>
      </x:c>
      <x:c r="AF355" s="18" t="n">
        <x:f>ROUND(I355-(F355-G355-H355),2)</x:f>
        <x:v>0</x:v>
      </x:c>
    </x:row>
    <x:row r="356" ht="24" customHeight="1">
      <x:c r="A356" s="14" t="n">
        <x:v>45809</x:v>
      </x:c>
      <x:c r="B356" s="2" t="str">
        <x:v>E-commerce</x:v>
      </x:c>
      <x:c r="C356" s="2" t="str">
        <x:v>Sul</x:v>
      </x:c>
      <x:c r="D356" s="2" t="str">
        <x:v>M-0351</x:v>
      </x:c>
      <x:c r="E356" s="16" t="n">
        <x:v>118</x:v>
      </x:c>
      <x:c r="F356" s="17" t="n">
        <x:v>137094.13</x:v>
      </x:c>
      <x:c r="G356" s="17" t="n">
        <x:v>5636.09</x:v>
      </x:c>
      <x:c r="H356" s="17" t="n">
        <x:v>3358.81</x:v>
      </x:c>
      <x:c r="I356" s="17" t="n">
        <x:v>128099.23</x:v>
      </x:c>
      <x:c r="J356" s="17" t="n">
        <x:v>81365.68</x:v>
      </x:c>
      <x:c r="K356" s="17" t="n">
        <x:v>8838.85</x:v>
      </x:c>
      <x:c r="L356" s="17" t="n">
        <x:v>3074.38</x:v>
      </x:c>
      <x:c r="M356" s="17" t="n">
        <x:v>9607.44</x:v>
      </x:c>
      <x:c r="N356" s="16" t="n">
        <x:v>61</x:v>
      </x:c>
      <x:c r="O356" s="16" t="n">
        <x:v>18</x:v>
      </x:c>
      <x:c r="P356" s="16" t="n">
        <x:v>4</x:v>
      </x:c>
      <x:c r="Q356" s="16" t="n">
        <x:v>38</x:v>
      </x:c>
      <x:c r="R356" s="16" t="n">
        <x:v>22</x:v>
      </x:c>
      <x:c r="S356" s="16" t="n">
        <x:v>8</x:v>
      </x:c>
      <x:c r="T356" s="15" t="n">
        <x:f>YEAR(A356)</x:f>
        <x:v>2025</x:v>
      </x:c>
      <x:c r="U356" s="15" t="n">
        <x:f>ROUNDUP(MONTH(A356)/3,0)</x:f>
        <x:v>2</x:v>
      </x:c>
      <x:c r="V356" s="18" t="n">
        <x:f>I356-J356</x:f>
        <x:v>46733.55</x:v>
      </x:c>
      <x:c r="W356" s="19" t="n">
        <x:f>IF(I356=0,"",V356/I356)</x:f>
        <x:v>0.36482303601668803</x:v>
      </x:c>
      <x:c r="X356" s="18" t="n">
        <x:f>I356-J356-K356-L356-M356</x:f>
        <x:v>25212.880000000005</x:v>
      </x:c>
      <x:c r="Y356" s="19" t="n">
        <x:f>IF(I356=0,"",X356/I356)</x:f>
        <x:v>0.19682304101281486</x:v>
      </x:c>
      <x:c r="Z356" s="18" t="n">
        <x:f>IF(E356=0,"",F356/E356)</x:f>
        <x:v>1161.8146610169492</x:v>
      </x:c>
      <x:c r="AA356" s="18" t="n">
        <x:f>IF(N356=0,"",M356/N356)</x:f>
        <x:v>157.49901639344264</x:v>
      </x:c>
      <x:c r="AB356" s="19" t="n">
        <x:f>IF(E356=0,"",O356/E356)</x:f>
        <x:v>0.15254237288135594</x:v>
      </x:c>
      <x:c r="AC356" s="19" t="n">
        <x:f>IF(E356=0,"",P356/E356)</x:f>
        <x:v>0.03389830508474576</x:v>
      </x:c>
      <x:c r="AD356" s="20" t="n">
        <x:f>IF(Q356=0,"",100*(R356-S356)/Q356)</x:f>
        <x:v>36.8421052631579</x:v>
      </x:c>
      <x:c r="AE356" s="19" t="n">
        <x:f>IF(F356=0,"",G356/F356)</x:f>
        <x:v>0.04111109644154713</x:v>
      </x:c>
      <x:c r="AF356" s="18" t="n">
        <x:f>ROUND(I356-(F356-G356-H356),2)</x:f>
        <x:v>0</x:v>
      </x:c>
    </x:row>
    <x:row r="357" ht="24" customHeight="1">
      <x:c r="A357" s="14" t="n">
        <x:v>45809</x:v>
      </x:c>
      <x:c r="B357" s="2" t="str">
        <x:v>E-commerce</x:v>
      </x:c>
      <x:c r="C357" s="2" t="str">
        <x:v>Centro-Oeste</x:v>
      </x:c>
      <x:c r="D357" s="2" t="str">
        <x:v>M-0352</x:v>
      </x:c>
      <x:c r="E357" s="16" t="n">
        <x:v>98</x:v>
      </x:c>
      <x:c r="F357" s="17" t="n">
        <x:v>113961.81</x:v>
      </x:c>
      <x:c r="G357" s="17" t="n">
        <x:v>4685.1</x:v>
      </x:c>
      <x:c r="H357" s="17" t="n">
        <x:v>2792.06</x:v>
      </x:c>
      <x:c r="I357" s="17" t="n">
        <x:v>106484.65</x:v>
      </x:c>
      <x:c r="J357" s="17" t="n">
        <x:v>63366.04</x:v>
      </x:c>
      <x:c r="K357" s="17" t="n">
        <x:v>7347.44</x:v>
      </x:c>
      <x:c r="L357" s="17" t="n">
        <x:v>2555.63</x:v>
      </x:c>
      <x:c r="M357" s="17" t="n">
        <x:v>7986.35</x:v>
      </x:c>
      <x:c r="N357" s="16" t="n">
        <x:v>51</x:v>
      </x:c>
      <x:c r="O357" s="16" t="n">
        <x:v>15</x:v>
      </x:c>
      <x:c r="P357" s="16" t="n">
        <x:v>3</x:v>
      </x:c>
      <x:c r="Q357" s="16" t="n">
        <x:v>31</x:v>
      </x:c>
      <x:c r="R357" s="16" t="n">
        <x:v>18</x:v>
      </x:c>
      <x:c r="S357" s="16" t="n">
        <x:v>7</x:v>
      </x:c>
      <x:c r="T357" s="15" t="n">
        <x:f>YEAR(A357)</x:f>
        <x:v>2025</x:v>
      </x:c>
      <x:c r="U357" s="15" t="n">
        <x:f>ROUNDUP(MONTH(A357)/3,0)</x:f>
        <x:v>2</x:v>
      </x:c>
      <x:c r="V357" s="18" t="n">
        <x:f>I357-J357</x:f>
        <x:v>43118.60999999999</x:v>
      </x:c>
      <x:c r="W357" s="19" t="n">
        <x:f>IF(I357=0,"",V357/I357)</x:f>
        <x:v>0.4049279403181585</x:v>
      </x:c>
      <x:c r="X357" s="18" t="n">
        <x:f>I357-J357-K357-L357-M357</x:f>
        <x:v>25229.189999999995</x:v>
      </x:c>
      <x:c r="Y357" s="19" t="n">
        <x:f>IF(I357=0,"",X357/I357)</x:f>
        <x:v>0.23692795158738839</x:v>
      </x:c>
      <x:c r="Z357" s="18" t="n">
        <x:f>IF(E357=0,"",F357/E357)</x:f>
        <x:v>1162.8756122448979</x:v>
      </x:c>
      <x:c r="AA357" s="18" t="n">
        <x:f>IF(N357=0,"",M357/N357)</x:f>
        <x:v>156.59509803921569</x:v>
      </x:c>
      <x:c r="AB357" s="19" t="n">
        <x:f>IF(E357=0,"",O357/E357)</x:f>
        <x:v>0.15306122448979592</x:v>
      </x:c>
      <x:c r="AC357" s="19" t="n">
        <x:f>IF(E357=0,"",P357/E357)</x:f>
        <x:v>0.030612244897959183</x:v>
      </x:c>
      <x:c r="AD357" s="20" t="n">
        <x:f>IF(Q357=0,"",100*(R357-S357)/Q357)</x:f>
        <x:v>35.483870967741936</x:v>
      </x:c>
      <x:c r="AE357" s="19" t="n">
        <x:f>IF(F357=0,"",G357/F357)</x:f>
        <x:v>0.041111140653171445</x:v>
      </x:c>
      <x:c r="AF357" s="18" t="n">
        <x:f>ROUND(I357-(F357-G357-H357),2)</x:f>
        <x:v>0</x:v>
      </x:c>
    </x:row>
    <x:row r="358" ht="24" customHeight="1">
      <x:c r="A358" s="14" t="n">
        <x:v>45809</x:v>
      </x:c>
      <x:c r="B358" s="2" t="str">
        <x:v>Lojas</x:v>
      </x:c>
      <x:c r="C358" s="2" t="str">
        <x:v>Sudeste</x:v>
      </x:c>
      <x:c r="D358" s="2" t="str">
        <x:v>M-0353</x:v>
      </x:c>
      <x:c r="E358" s="16" t="n">
        <x:v>171</x:v>
      </x:c>
      <x:c r="F358" s="17" t="n">
        <x:v>198152.73</x:v>
      </x:c>
      <x:c r="G358" s="17" t="n">
        <x:v>8146.28</x:v>
      </x:c>
      <x:c r="H358" s="17" t="n">
        <x:v>4854.74</x:v>
      </x:c>
      <x:c r="I358" s="17" t="n">
        <x:v>185151.71</x:v>
      </x:c>
      <x:c r="J358" s="17" t="n">
        <x:v>109159.89</x:v>
      </x:c>
      <x:c r="K358" s="17" t="n">
        <x:v>8887.28</x:v>
      </x:c>
      <x:c r="L358" s="17" t="n">
        <x:v>4443.64</x:v>
      </x:c>
      <x:c r="M358" s="17" t="n">
        <x:v>3332.73</x:v>
      </x:c>
      <x:c r="N358" s="16" t="n">
        <x:v>48</x:v>
      </x:c>
      <x:c r="O358" s="16" t="n">
        <x:v>27</x:v>
      </x:c>
      <x:c r="P358" s="16" t="n">
        <x:v>6</x:v>
      </x:c>
      <x:c r="Q358" s="16" t="n">
        <x:v>55</x:v>
      </x:c>
      <x:c r="R358" s="16" t="n">
        <x:v>31</x:v>
      </x:c>
      <x:c r="S358" s="16" t="n">
        <x:v>12</x:v>
      </x:c>
      <x:c r="T358" s="15" t="n">
        <x:f>YEAR(A358)</x:f>
        <x:v>2025</x:v>
      </x:c>
      <x:c r="U358" s="15" t="n">
        <x:f>ROUNDUP(MONTH(A358)/3,0)</x:f>
        <x:v>2</x:v>
      </x:c>
      <x:c r="V358" s="18" t="n">
        <x:f>I358-J358</x:f>
        <x:v>75991.81999999999</x:v>
      </x:c>
      <x:c r="W358" s="19" t="n">
        <x:f>IF(I358=0,"",V358/I358)</x:f>
        <x:v>0.41043001979295785</x:v>
      </x:c>
      <x:c r="X358" s="18" t="n">
        <x:f>I358-J358-K358-L358-M358</x:f>
        <x:v>59328.16999999999</x:v>
      </x:c>
      <x:c r="Y358" s="19" t="n">
        <x:f>IF(I358=0,"",X358/I358)</x:f>
        <x:v>0.32043004085676546</x:v>
      </x:c>
      <x:c r="Z358" s="18" t="n">
        <x:f>IF(E358=0,"",F358/E358)</x:f>
        <x:v>1158.7878947368422</x:v>
      </x:c>
      <x:c r="AA358" s="18" t="n">
        <x:f>IF(N358=0,"",M358/N358)</x:f>
        <x:v>69.431875</x:v>
      </x:c>
      <x:c r="AB358" s="19" t="n">
        <x:f>IF(E358=0,"",O358/E358)</x:f>
        <x:v>0.15789473684210525</x:v>
      </x:c>
      <x:c r="AC358" s="19" t="n">
        <x:f>IF(E358=0,"",P358/E358)</x:f>
        <x:v>0.03508771929824561</x:v>
      </x:c>
      <x:c r="AD358" s="20" t="n">
        <x:f>IF(Q358=0,"",100*(R358-S358)/Q358)</x:f>
        <x:v>34.54545454545455</x:v>
      </x:c>
      <x:c r="AE358" s="19" t="n">
        <x:f>IF(F358=0,"",G358/F358)</x:f>
        <x:v>0.041111116662384616</x:v>
      </x:c>
      <x:c r="AF358" s="18" t="n">
        <x:f>ROUND(I358-(F358-G358-H358),2)</x:f>
        <x:v>0</x:v>
      </x:c>
    </x:row>
    <x:row r="359" ht="24" customHeight="1">
      <x:c r="A359" s="14" t="n">
        <x:v>45809</x:v>
      </x:c>
      <x:c r="B359" s="2" t="str">
        <x:v>Lojas</x:v>
      </x:c>
      <x:c r="C359" s="2" t="str">
        <x:v>Nordeste</x:v>
      </x:c>
      <x:c r="D359" s="2" t="str">
        <x:v>M-0354</x:v>
      </x:c>
      <x:c r="E359" s="16" t="n">
        <x:v>113</x:v>
      </x:c>
      <x:c r="F359" s="17" t="n">
        <x:v>131491.49</x:v>
      </x:c>
      <x:c r="G359" s="17" t="n">
        <x:v>5405.76</x:v>
      </x:c>
      <x:c r="H359" s="17" t="n">
        <x:v>3221.54</x:v>
      </x:c>
      <x:c r="I359" s="17" t="n">
        <x:v>122864.19</x:v>
      </x:c>
      <x:c r="J359" s="17" t="n">
        <x:v>73197.86</x:v>
      </x:c>
      <x:c r="K359" s="17" t="n">
        <x:v>5897.48</x:v>
      </x:c>
      <x:c r="L359" s="17" t="n">
        <x:v>2948.74</x:v>
      </x:c>
      <x:c r="M359" s="17" t="n">
        <x:v>2211.56</x:v>
      </x:c>
      <x:c r="N359" s="16" t="n">
        <x:v>32</x:v>
      </x:c>
      <x:c r="O359" s="16" t="n">
        <x:v>18</x:v>
      </x:c>
      <x:c r="P359" s="16" t="n">
        <x:v>4</x:v>
      </x:c>
      <x:c r="Q359" s="16" t="n">
        <x:v>36</x:v>
      </x:c>
      <x:c r="R359" s="16" t="n">
        <x:v>20</x:v>
      </x:c>
      <x:c r="S359" s="16" t="n">
        <x:v>8</x:v>
      </x:c>
      <x:c r="T359" s="15" t="n">
        <x:f>YEAR(A359)</x:f>
        <x:v>2025</x:v>
      </x:c>
      <x:c r="U359" s="15" t="n">
        <x:f>ROUNDUP(MONTH(A359)/3,0)</x:f>
        <x:v>2</x:v>
      </x:c>
      <x:c r="V359" s="18" t="n">
        <x:f>I359-J359</x:f>
        <x:v>49666.33</x:v>
      </x:c>
      <x:c r="W359" s="19" t="n">
        <x:f>IF(I359=0,"",V359/I359)</x:f>
        <x:v>0.4042376383224437</x:v>
      </x:c>
      <x:c r="X359" s="18" t="n">
        <x:f>I359-J359-K359-L359-M359</x:f>
        <x:v>38608.55000000001</x:v>
      </x:c>
      <x:c r="Y359" s="19" t="n">
        <x:f>IF(I359=0,"",X359/I359)</x:f>
        <x:v>0.31423761471914646</x:v>
      </x:c>
      <x:c r="Z359" s="18" t="n">
        <x:f>IF(E359=0,"",F359/E359)</x:f>
        <x:v>1163.6415044247788</x:v>
      </x:c>
      <x:c r="AA359" s="18" t="n">
        <x:f>IF(N359=0,"",M359/N359)</x:f>
        <x:v>69.11125</x:v>
      </x:c>
      <x:c r="AB359" s="19" t="n">
        <x:f>IF(E359=0,"",O359/E359)</x:f>
        <x:v>0.1592920353982301</x:v>
      </x:c>
      <x:c r="AC359" s="19" t="n">
        <x:f>IF(E359=0,"",P359/E359)</x:f>
        <x:v>0.035398230088495575</x:v>
      </x:c>
      <x:c r="AD359" s="20" t="n">
        <x:f>IF(Q359=0,"",100*(R359-S359)/Q359)</x:f>
        <x:v>33.333333333333336</x:v>
      </x:c>
      <x:c r="AE359" s="19" t="n">
        <x:f>IF(F359=0,"",G359/F359)</x:f>
        <x:v>0.04111110156254219</x:v>
      </x:c>
      <x:c r="AF359" s="18" t="n">
        <x:f>ROUND(I359-(F359-G359-H359),2)</x:f>
        <x:v>0</x:v>
      </x:c>
    </x:row>
    <x:row r="360" ht="24" customHeight="1">
      <x:c r="A360" s="14" t="n">
        <x:v>45809</x:v>
      </x:c>
      <x:c r="B360" s="2" t="str">
        <x:v>Lojas</x:v>
      </x:c>
      <x:c r="C360" s="2" t="str">
        <x:v>Sul</x:v>
      </x:c>
      <x:c r="D360" s="2" t="str">
        <x:v>M-0355</x:v>
      </x:c>
      <x:c r="E360" s="16" t="n">
        <x:v>102</x:v>
      </x:c>
      <x:c r="F360" s="17" t="n">
        <x:v>118410.23</x:v>
      </x:c>
      <x:c r="G360" s="17" t="n">
        <x:v>4867.98</x:v>
      </x:c>
      <x:c r="H360" s="17" t="n">
        <x:v>2901.05</x:v>
      </x:c>
      <x:c r="I360" s="17" t="n">
        <x:v>110641.2</x:v>
      </x:c>
      <x:c r="J360" s="17" t="n">
        <x:v>69999.64</x:v>
      </x:c>
      <x:c r="K360" s="17" t="n">
        <x:v>5310.78</x:v>
      </x:c>
      <x:c r="L360" s="17" t="n">
        <x:v>2655.39</x:v>
      </x:c>
      <x:c r="M360" s="17" t="n">
        <x:v>1991.54</x:v>
      </x:c>
      <x:c r="N360" s="16" t="n">
        <x:v>29</x:v>
      </x:c>
      <x:c r="O360" s="16" t="n">
        <x:v>16</x:v>
      </x:c>
      <x:c r="P360" s="16" t="n">
        <x:v>3</x:v>
      </x:c>
      <x:c r="Q360" s="16" t="n">
        <x:v>33</x:v>
      </x:c>
      <x:c r="R360" s="16" t="n">
        <x:v>19</x:v>
      </x:c>
      <x:c r="S360" s="16" t="n">
        <x:v>7</x:v>
      </x:c>
      <x:c r="T360" s="15" t="n">
        <x:f>YEAR(A360)</x:f>
        <x:v>2025</x:v>
      </x:c>
      <x:c r="U360" s="15" t="n">
        <x:f>ROUNDUP(MONTH(A360)/3,0)</x:f>
        <x:v>2</x:v>
      </x:c>
      <x:c r="V360" s="18" t="n">
        <x:f>I360-J360</x:f>
        <x:v>40641.56</x:v>
      </x:c>
      <x:c r="W360" s="19" t="n">
        <x:f>IF(I360=0,"",V360/I360)</x:f>
        <x:v>0.3673275416391001</x:v>
      </x:c>
      <x:c r="X360" s="18" t="n">
        <x:f>I360-J360-K360-L360-M360</x:f>
        <x:v>30683.85</x:v>
      </x:c>
      <x:c r="Y360" s="19" t="n">
        <x:f>IF(I360=0,"",X360/I360)</x:f>
        <x:v>0.27732752356265117</x:v>
      </x:c>
      <x:c r="Z360" s="18" t="n">
        <x:f>IF(E360=0,"",F360/E360)</x:f>
        <x:v>1160.8846078431372</x:v>
      </x:c>
      <x:c r="AA360" s="18" t="n">
        <x:f>IF(N360=0,"",M360/N360)</x:f>
        <x:v>68.67379310344828</x:v>
      </x:c>
      <x:c r="AB360" s="19" t="n">
        <x:f>IF(E360=0,"",O360/E360)</x:f>
        <x:v>0.1568627450980392</x:v>
      </x:c>
      <x:c r="AC360" s="19" t="n">
        <x:f>IF(E360=0,"",P360/E360)</x:f>
        <x:v>0.029411764705882353</x:v>
      </x:c>
      <x:c r="AD360" s="20" t="n">
        <x:f>IF(Q360=0,"",100*(R360-S360)/Q360)</x:f>
        <x:v>36.36363636363637</x:v>
      </x:c>
      <x:c r="AE360" s="19" t="n">
        <x:f>IF(F360=0,"",G360/F360)</x:f>
        <x:v>0.04111114385978306</x:v>
      </x:c>
      <x:c r="AF360" s="18" t="n">
        <x:f>ROUND(I360-(F360-G360-H360),2)</x:f>
        <x:v>0</x:v>
      </x:c>
    </x:row>
    <x:row r="361" ht="24" customHeight="1">
      <x:c r="A361" s="14" t="n">
        <x:v>45809</x:v>
      </x:c>
      <x:c r="B361" s="2" t="str">
        <x:v>Lojas</x:v>
      </x:c>
      <x:c r="C361" s="2" t="str">
        <x:v>Centro-Oeste</x:v>
      </x:c>
      <x:c r="D361" s="2" t="str">
        <x:v>M-0356</x:v>
      </x:c>
      <x:c r="E361" s="16" t="n">
        <x:v>73</x:v>
      </x:c>
      <x:c r="F361" s="17" t="n">
        <x:v>84520.46</x:v>
      </x:c>
      <x:c r="G361" s="17" t="n">
        <x:v>3474.73</x:v>
      </x:c>
      <x:c r="H361" s="17" t="n">
        <x:v>2070.75</x:v>
      </x:c>
      <x:c r="I361" s="17" t="n">
        <x:v>78974.98</x:v>
      </x:c>
      <x:c r="J361" s="17" t="n">
        <x:v>49316.13</x:v>
      </x:c>
      <x:c r="K361" s="17" t="n">
        <x:v>3790.8</x:v>
      </x:c>
      <x:c r="L361" s="17" t="n">
        <x:v>1895.4</x:v>
      </x:c>
      <x:c r="M361" s="17" t="n">
        <x:v>1421.55</x:v>
      </x:c>
      <x:c r="N361" s="16" t="n">
        <x:v>20</x:v>
      </x:c>
      <x:c r="O361" s="16" t="n">
        <x:v>11</x:v>
      </x:c>
      <x:c r="P361" s="16" t="n">
        <x:v>2</x:v>
      </x:c>
      <x:c r="Q361" s="16" t="n">
        <x:v>23</x:v>
      </x:c>
      <x:c r="R361" s="16" t="n">
        <x:v>13</x:v>
      </x:c>
      <x:c r="S361" s="16" t="n">
        <x:v>5</x:v>
      </x:c>
      <x:c r="T361" s="15" t="n">
        <x:f>YEAR(A361)</x:f>
        <x:v>2025</x:v>
      </x:c>
      <x:c r="U361" s="15" t="n">
        <x:f>ROUNDUP(MONTH(A361)/3,0)</x:f>
        <x:v>2</x:v>
      </x:c>
      <x:c r="V361" s="18" t="n">
        <x:f>I361-J361</x:f>
        <x:v>29658.85</x:v>
      </x:c>
      <x:c r="W361" s="19" t="n">
        <x:f>IF(I361=0,"",V361/I361)</x:f>
        <x:v>0.37554742020827353</x:v>
      </x:c>
      <x:c r="X361" s="18" t="n">
        <x:f>I361-J361-K361-L361-M361</x:f>
        <x:v>22551.1</x:v>
      </x:c>
      <x:c r="Y361" s="19" t="n">
        <x:f>IF(I361=0,"",X361/I361)</x:f>
        <x:v>0.28554739741624496</x:v>
      </x:c>
      <x:c r="Z361" s="18" t="n">
        <x:f>IF(E361=0,"",F361/E361)</x:f>
        <x:v>1157.8145205479452</x:v>
      </x:c>
      <x:c r="AA361" s="18" t="n">
        <x:f>IF(N361=0,"",M361/N361)</x:f>
        <x:v>71.0775</x:v>
      </x:c>
      <x:c r="AB361" s="19" t="n">
        <x:f>IF(E361=0,"",O361/E361)</x:f>
        <x:v>0.1506849315068493</x:v>
      </x:c>
      <x:c r="AC361" s="19" t="n">
        <x:f>IF(E361=0,"",P361/E361)</x:f>
        <x:v>0.0273972602739726</x:v>
      </x:c>
      <x:c r="AD361" s="20" t="n">
        <x:f>IF(Q361=0,"",100*(R361-S361)/Q361)</x:f>
        <x:v>34.78260869565217</x:v>
      </x:c>
      <x:c r="AE361" s="19" t="n">
        <x:f>IF(F361=0,"",G361/F361)</x:f>
        <x:v>0.04111111084818989</x:v>
      </x:c>
      <x:c r="AF361" s="18" t="n">
        <x:f>ROUND(I361-(F361-G361-H361),2)</x:f>
        <x:v>0</x:v>
      </x:c>
    </x:row>
    <x:row r="362" ht="24" customHeight="1">
      <x:c r="A362" s="14" t="n">
        <x:v>45809</x:v>
      </x:c>
      <x:c r="B362" s="2" t="str">
        <x:v>B2B</x:v>
      </x:c>
      <x:c r="C362" s="2" t="str">
        <x:v>Sudeste</x:v>
      </x:c>
      <x:c r="D362" s="2" t="str">
        <x:v>M-0357</x:v>
      </x:c>
      <x:c r="E362" s="16" t="n">
        <x:v>109</x:v>
      </x:c>
      <x:c r="F362" s="17" t="n">
        <x:v>126903.81</x:v>
      </x:c>
      <x:c r="G362" s="17" t="n">
        <x:v>5217.16</x:v>
      </x:c>
      <x:c r="H362" s="17" t="n">
        <x:v>3109.14</x:v>
      </x:c>
      <x:c r="I362" s="17" t="n">
        <x:v>118577.51</x:v>
      </x:c>
      <x:c r="J362" s="17" t="n">
        <x:v>72747.68</x:v>
      </x:c>
      <x:c r="K362" s="17" t="n">
        <x:v>5691.72</x:v>
      </x:c>
      <x:c r="L362" s="17" t="n">
        <x:v>2845.86</x:v>
      </x:c>
      <x:c r="M362" s="17" t="n">
        <x:v>2134.4</x:v>
      </x:c>
      <x:c r="N362" s="16" t="n">
        <x:v>31</x:v>
      </x:c>
      <x:c r="O362" s="16" t="n">
        <x:v>17</x:v>
      </x:c>
      <x:c r="P362" s="16" t="n">
        <x:v>4</x:v>
      </x:c>
      <x:c r="Q362" s="16" t="n">
        <x:v>35</x:v>
      </x:c>
      <x:c r="R362" s="16" t="n">
        <x:v>20</x:v>
      </x:c>
      <x:c r="S362" s="16" t="n">
        <x:v>8</x:v>
      </x:c>
      <x:c r="T362" s="15" t="n">
        <x:f>YEAR(A362)</x:f>
        <x:v>2025</x:v>
      </x:c>
      <x:c r="U362" s="15" t="n">
        <x:f>ROUNDUP(MONTH(A362)/3,0)</x:f>
        <x:v>2</x:v>
      </x:c>
      <x:c r="V362" s="18" t="n">
        <x:f>I362-J362</x:f>
        <x:v>45829.83</x:v>
      </x:c>
      <x:c r="W362" s="19" t="n">
        <x:f>IF(I362=0,"",V362/I362)</x:f>
        <x:v>0.3864968154585132</x:v>
      </x:c>
      <x:c r="X362" s="18" t="n">
        <x:f>I362-J362-K362-L362-M362</x:f>
        <x:v>35157.85</x:v>
      </x:c>
      <x:c r="Y362" s="19" t="n">
        <x:f>IF(I362=0,"",X362/I362)</x:f>
        <x:v>0.29649678088197334</x:v>
      </x:c>
      <x:c r="Z362" s="18" t="n">
        <x:f>IF(E362=0,"",F362/E362)</x:f>
        <x:v>1164.255137614679</x:v>
      </x:c>
      <x:c r="AA362" s="18" t="n">
        <x:f>IF(N362=0,"",M362/N362)</x:f>
        <x:v>68.85161290322581</x:v>
      </x:c>
      <x:c r="AB362" s="19" t="n">
        <x:f>IF(E362=0,"",O362/E362)</x:f>
        <x:v>0.1559633027522936</x:v>
      </x:c>
      <x:c r="AC362" s="19" t="n">
        <x:f>IF(E362=0,"",P362/E362)</x:f>
        <x:v>0.03669724770642202</x:v>
      </x:c>
      <x:c r="AD362" s="20" t="n">
        <x:f>IF(Q362=0,"",100*(R362-S362)/Q362)</x:f>
        <x:v>34.285714285714285</x:v>
      </x:c>
      <x:c r="AE362" s="19" t="n">
        <x:f>IF(F362=0,"",G362/F362)</x:f>
        <x:v>0.04111113764039078</x:v>
      </x:c>
      <x:c r="AF362" s="18" t="n">
        <x:f>ROUND(I362-(F362-G362-H362),2)</x:f>
        <x:v>0</x:v>
      </x:c>
    </x:row>
    <x:row r="363" ht="24" customHeight="1">
      <x:c r="A363" s="14" t="n">
        <x:v>45809</x:v>
      </x:c>
      <x:c r="B363" s="2" t="str">
        <x:v>B2B</x:v>
      </x:c>
      <x:c r="C363" s="2" t="str">
        <x:v>Nordeste</x:v>
      </x:c>
      <x:c r="D363" s="2" t="str">
        <x:v>M-0358</x:v>
      </x:c>
      <x:c r="E363" s="16" t="n">
        <x:v>78</x:v>
      </x:c>
      <x:c r="F363" s="17" t="n">
        <x:v>90586.81</x:v>
      </x:c>
      <x:c r="G363" s="17" t="n">
        <x:v>3724.12</x:v>
      </x:c>
      <x:c r="H363" s="17" t="n">
        <x:v>2219.38</x:v>
      </x:c>
      <x:c r="I363" s="17" t="n">
        <x:v>84643.31</x:v>
      </x:c>
      <x:c r="J363" s="17" t="n">
        <x:v>52639.29</x:v>
      </x:c>
      <x:c r="K363" s="17" t="n">
        <x:v>4062.88</x:v>
      </x:c>
      <x:c r="L363" s="17" t="n">
        <x:v>2031.44</x:v>
      </x:c>
      <x:c r="M363" s="17" t="n">
        <x:v>1523.58</x:v>
      </x:c>
      <x:c r="N363" s="16" t="n">
        <x:v>22</x:v>
      </x:c>
      <x:c r="O363" s="16" t="n">
        <x:v>12</x:v>
      </x:c>
      <x:c r="P363" s="16" t="n">
        <x:v>3</x:v>
      </x:c>
      <x:c r="Q363" s="16" t="n">
        <x:v>25</x:v>
      </x:c>
      <x:c r="R363" s="16" t="n">
        <x:v>14</x:v>
      </x:c>
      <x:c r="S363" s="16" t="n">
        <x:v>5</x:v>
      </x:c>
      <x:c r="T363" s="15" t="n">
        <x:f>YEAR(A363)</x:f>
        <x:v>2025</x:v>
      </x:c>
      <x:c r="U363" s="15" t="n">
        <x:f>ROUNDUP(MONTH(A363)/3,0)</x:f>
        <x:v>2</x:v>
      </x:c>
      <x:c r="V363" s="18" t="n">
        <x:f>I363-J363</x:f>
        <x:v>32004.019999999997</x:v>
      </x:c>
      <x:c r="W363" s="19" t="n">
        <x:f>IF(I363=0,"",V363/I363)</x:f>
        <x:v>0.3781045424617728</x:v>
      </x:c>
      <x:c r="X363" s="18" t="n">
        <x:f>I363-J363-K363-L363-M363</x:f>
        <x:v>24386.119999999995</x:v>
      </x:c>
      <x:c r="Y363" s="19" t="n">
        <x:f>IF(I363=0,"",X363/I363)</x:f>
        <x:v>0.2881045176517789</x:v>
      </x:c>
      <x:c r="Z363" s="18" t="n">
        <x:f>IF(E363=0,"",F363/E363)</x:f>
        <x:v>1161.3693589743589</x:v>
      </x:c>
      <x:c r="AA363" s="18" t="n">
        <x:f>IF(N363=0,"",M363/N363)</x:f>
        <x:v>69.25363636363636</x:v>
      </x:c>
      <x:c r="AB363" s="19" t="n">
        <x:f>IF(E363=0,"",O363/E363)</x:f>
        <x:v>0.15384615384615385</x:v>
      </x:c>
      <x:c r="AC363" s="19" t="n">
        <x:f>IF(E363=0,"",P363/E363)</x:f>
        <x:v>0.038461538461538464</x:v>
      </x:c>
      <x:c r="AD363" s="20" t="n">
        <x:f>IF(Q363=0,"",100*(R363-S363)/Q363)</x:f>
        <x:v>36</x:v>
      </x:c>
      <x:c r="AE363" s="19" t="n">
        <x:f>IF(F363=0,"",G363/F363)</x:f>
        <x:v>0.041111062416261265</x:v>
      </x:c>
      <x:c r="AF363" s="18" t="n">
        <x:f>ROUND(I363-(F363-G363-H363),2)</x:f>
        <x:v>0</x:v>
      </x:c>
    </x:row>
    <x:row r="364" ht="24" customHeight="1">
      <x:c r="A364" s="14" t="n">
        <x:v>45809</x:v>
      </x:c>
      <x:c r="B364" s="2" t="str">
        <x:v>B2B</x:v>
      </x:c>
      <x:c r="C364" s="2" t="str">
        <x:v>Sul</x:v>
      </x:c>
      <x:c r="D364" s="2" t="str">
        <x:v>M-0359</x:v>
      </x:c>
      <x:c r="E364" s="16" t="n">
        <x:v>61</x:v>
      </x:c>
      <x:c r="F364" s="17" t="n">
        <x:v>70500.28</x:v>
      </x:c>
      <x:c r="G364" s="17" t="n">
        <x:v>2898.34</x:v>
      </x:c>
      <x:c r="H364" s="17" t="n">
        <x:v>1727.26</x:v>
      </x:c>
      <x:c r="I364" s="17" t="n">
        <x:v>65874.68</x:v>
      </x:c>
      <x:c r="J364" s="17" t="n">
        <x:v>41389.53</x:v>
      </x:c>
      <x:c r="K364" s="17" t="n">
        <x:v>3161.98</x:v>
      </x:c>
      <x:c r="L364" s="17" t="n">
        <x:v>1580.99</x:v>
      </x:c>
      <x:c r="M364" s="17" t="n">
        <x:v>1185.74</x:v>
      </x:c>
      <x:c r="N364" s="16" t="n">
        <x:v>17</x:v>
      </x:c>
      <x:c r="O364" s="16" t="n">
        <x:v>10</x:v>
      </x:c>
      <x:c r="P364" s="16" t="n">
        <x:v>2</x:v>
      </x:c>
      <x:c r="Q364" s="16" t="n">
        <x:v>20</x:v>
      </x:c>
      <x:c r="R364" s="16" t="n">
        <x:v>11</x:v>
      </x:c>
      <x:c r="S364" s="16" t="n">
        <x:v>4</x:v>
      </x:c>
      <x:c r="T364" s="15" t="n">
        <x:f>YEAR(A364)</x:f>
        <x:v>2025</x:v>
      </x:c>
      <x:c r="U364" s="15" t="n">
        <x:f>ROUNDUP(MONTH(A364)/3,0)</x:f>
        <x:v>2</x:v>
      </x:c>
      <x:c r="V364" s="18" t="n">
        <x:f>I364-J364</x:f>
        <x:v>24485.149999999994</x:v>
      </x:c>
      <x:c r="W364" s="19" t="n">
        <x:f>IF(I364=0,"",V364/I364)</x:f>
        <x:v>0.37169288716089394</x:v>
      </x:c>
      <x:c r="X364" s="18" t="n">
        <x:f>I364-J364-K364-L364-M364</x:f>
        <x:v>18556.43999999999</x:v>
      </x:c>
      <x:c r="Y364" s="19" t="n">
        <x:f>IF(I364=0,"",X364/I364)</x:f>
        <x:v>0.28169305718069515</x:v>
      </x:c>
      <x:c r="Z364" s="18" t="n">
        <x:f>IF(E364=0,"",F364/E364)</x:f>
        <x:v>1155.742295081967</x:v>
      </x:c>
      <x:c r="AA364" s="18" t="n">
        <x:f>IF(N364=0,"",M364/N364)</x:f>
        <x:v>69.74941176470588</x:v>
      </x:c>
      <x:c r="AB364" s="19" t="n">
        <x:f>IF(E364=0,"",O364/E364)</x:f>
        <x:v>0.16393442622950818</x:v>
      </x:c>
      <x:c r="AC364" s="19" t="n">
        <x:f>IF(E364=0,"",P364/E364)</x:f>
        <x:v>0.03278688524590164</x:v>
      </x:c>
      <x:c r="AD364" s="20" t="n">
        <x:f>IF(Q364=0,"",100*(R364-S364)/Q364)</x:f>
        <x:v>35</x:v>
      </x:c>
      <x:c r="AE364" s="19" t="n">
        <x:f>IF(F364=0,"",G364/F364)</x:f>
        <x:v>0.04111104239585999</x:v>
      </x:c>
      <x:c r="AF364" s="18" t="n">
        <x:f>ROUND(I364-(F364-G364-H364),2)</x:f>
        <x:v>0</x:v>
      </x:c>
    </x:row>
    <x:row r="365" ht="24" customHeight="1">
      <x:c r="A365" s="14" t="n">
        <x:v>45809</x:v>
      </x:c>
      <x:c r="B365" s="2" t="str">
        <x:v>B2B</x:v>
      </x:c>
      <x:c r="C365" s="2" t="str">
        <x:v>Centro-Oeste</x:v>
      </x:c>
      <x:c r="D365" s="2" t="str">
        <x:v>M-0360</x:v>
      </x:c>
      <x:c r="E365" s="16" t="n">
        <x:v>52</x:v>
      </x:c>
      <x:c r="F365" s="17" t="n">
        <x:v>60534.62</x:v>
      </x:c>
      <x:c r="G365" s="17" t="n">
        <x:v>2488.65</x:v>
      </x:c>
      <x:c r="H365" s="17" t="n">
        <x:v>1483.1</x:v>
      </x:c>
      <x:c r="I365" s="17" t="n">
        <x:v>56562.87</x:v>
      </x:c>
      <x:c r="J365" s="17" t="n">
        <x:v>35957.66</x:v>
      </x:c>
      <x:c r="K365" s="17" t="n">
        <x:v>2715.02</x:v>
      </x:c>
      <x:c r="L365" s="17" t="n">
        <x:v>1357.51</x:v>
      </x:c>
      <x:c r="M365" s="17" t="n">
        <x:v>1018.13</x:v>
      </x:c>
      <x:c r="N365" s="16" t="n">
        <x:v>15</x:v>
      </x:c>
      <x:c r="O365" s="16" t="n">
        <x:v>8</x:v>
      </x:c>
      <x:c r="P365" s="16" t="n">
        <x:v>2</x:v>
      </x:c>
      <x:c r="Q365" s="16" t="n">
        <x:v>17</x:v>
      </x:c>
      <x:c r="R365" s="16" t="n">
        <x:v>10</x:v>
      </x:c>
      <x:c r="S365" s="16" t="n">
        <x:v>4</x:v>
      </x:c>
      <x:c r="T365" s="15" t="n">
        <x:f>YEAR(A365)</x:f>
        <x:v>2025</x:v>
      </x:c>
      <x:c r="U365" s="15" t="n">
        <x:f>ROUNDUP(MONTH(A365)/3,0)</x:f>
        <x:v>2</x:v>
      </x:c>
      <x:c r="V365" s="18" t="n">
        <x:f>I365-J365</x:f>
        <x:v>20605.21</x:v>
      </x:c>
      <x:c r="W365" s="19" t="n">
        <x:f>IF(I365=0,"",V365/I365)</x:f>
        <x:v>0.3642886225539828</x:v>
      </x:c>
      <x:c r="X365" s="18" t="n">
        <x:f>I365-J365-K365-L365-M365</x:f>
        <x:v>15514.550000000001</x:v>
      </x:c>
      <x:c r="Y365" s="19" t="n">
        <x:f>IF(I365=0,"",X365/I365)</x:f>
        <x:v>0.27428859249893084</x:v>
      </x:c>
      <x:c r="Z365" s="18" t="n">
        <x:f>IF(E365=0,"",F365/E365)</x:f>
        <x:v>1164.1273076923078</x:v>
      </x:c>
      <x:c r="AA365" s="18" t="n">
        <x:f>IF(N365=0,"",M365/N365)</x:f>
        <x:v>67.87533333333333</x:v>
      </x:c>
      <x:c r="AB365" s="19" t="n">
        <x:f>IF(E365=0,"",O365/E365)</x:f>
        <x:v>0.15384615384615385</x:v>
      </x:c>
      <x:c r="AC365" s="19" t="n">
        <x:f>IF(E365=0,"",P365/E365)</x:f>
        <x:v>0.038461538461538464</x:v>
      </x:c>
      <x:c r="AD365" s="20" t="n">
        <x:f>IF(Q365=0,"",100*(R365-S365)/Q365)</x:f>
        <x:v>35.294117647058826</x:v>
      </x:c>
      <x:c r="AE365" s="19" t="n">
        <x:f>IF(F365=0,"",G365/F365)</x:f>
        <x:v>0.04111118563228777</x:v>
      </x:c>
      <x:c r="AF365" s="18" t="n">
        <x:f>ROUND(I365-(F365-G365-H365),2)</x:f>
        <x:v>0</x:v>
      </x:c>
    </x:row>
    <x:row r="366" ht="24" customHeight="1">
      <x:c r="A366" s="14" t="n">
        <x:v>45839</x:v>
      </x:c>
      <x:c r="B366" s="2" t="str">
        <x:v>E-commerce</x:v>
      </x:c>
      <x:c r="C366" s="2" t="str">
        <x:v>Sudeste</x:v>
      </x:c>
      <x:c r="D366" s="2" t="str">
        <x:v>M-0361</x:v>
      </x:c>
      <x:c r="E366" s="16" t="n">
        <x:v>187</x:v>
      </x:c>
      <x:c r="F366" s="17" t="n">
        <x:v>216962.31</x:v>
      </x:c>
      <x:c r="G366" s="17" t="n">
        <x:v>9040.1</x:v>
      </x:c>
      <x:c r="H366" s="17" t="n">
        <x:v>5424.06</x:v>
      </x:c>
      <x:c r="I366" s="17" t="n">
        <x:v>202498.15</x:v>
      </x:c>
      <x:c r="J366" s="17" t="n">
        <x:v>129159</x:v>
      </x:c>
      <x:c r="K366" s="17" t="n">
        <x:v>14174.87</x:v>
      </x:c>
      <x:c r="L366" s="17" t="n">
        <x:v>4859.96</x:v>
      </x:c>
      <x:c r="M366" s="17" t="n">
        <x:v>15187.36</x:v>
      </x:c>
      <x:c r="N366" s="16" t="n">
        <x:v>97</x:v>
      </x:c>
      <x:c r="O366" s="16" t="n">
        <x:v>30</x:v>
      </x:c>
      <x:c r="P366" s="16" t="n">
        <x:v>6</x:v>
      </x:c>
      <x:c r="Q366" s="16" t="n">
        <x:v>60</x:v>
      </x:c>
      <x:c r="R366" s="16" t="n">
        <x:v>34</x:v>
      </x:c>
      <x:c r="S366" s="16" t="n">
        <x:v>13</x:v>
      </x:c>
      <x:c r="T366" s="15" t="n">
        <x:f>YEAR(A366)</x:f>
        <x:v>2025</x:v>
      </x:c>
      <x:c r="U366" s="15" t="n">
        <x:f>ROUNDUP(MONTH(A366)/3,0)</x:f>
        <x:v>3</x:v>
      </x:c>
      <x:c r="V366" s="18" t="n">
        <x:f>I366-J366</x:f>
        <x:v>73339.15</x:v>
      </x:c>
      <x:c r="W366" s="19" t="n">
        <x:f>IF(I366=0,"",V366/I366)</x:f>
        <x:v>0.36217195070671016</x:v>
      </x:c>
      <x:c r="X366" s="18" t="n">
        <x:f>I366-J366-K366-L366-M366</x:f>
        <x:v>39116.95999999999</x:v>
      </x:c>
      <x:c r="Y366" s="19" t="n">
        <x:f>IF(I366=0,"",X366/I366)</x:f>
        <x:v>0.19317193762017082</x:v>
      </x:c>
      <x:c r="Z366" s="18" t="n">
        <x:f>IF(E366=0,"",F366/E366)</x:f>
        <x:v>1160.226256684492</x:v>
      </x:c>
      <x:c r="AA366" s="18" t="n">
        <x:f>IF(N366=0,"",M366/N366)</x:f>
        <x:v>156.57072164948454</x:v>
      </x:c>
      <x:c r="AB366" s="19" t="n">
        <x:f>IF(E366=0,"",O366/E366)</x:f>
        <x:v>0.16042780748663102</x:v>
      </x:c>
      <x:c r="AC366" s="19" t="n">
        <x:f>IF(E366=0,"",P366/E366)</x:f>
        <x:v>0.03208556149732621</x:v>
      </x:c>
      <x:c r="AD366" s="20" t="n">
        <x:f>IF(Q366=0,"",100*(R366-S366)/Q366)</x:f>
        <x:v>35</x:v>
      </x:c>
      <x:c r="AE366" s="19" t="n">
        <x:f>IF(F366=0,"",G366/F366)</x:f>
        <x:v>0.04166668395077468</x:v>
      </x:c>
      <x:c r="AF366" s="18" t="n">
        <x:f>ROUND(I366-(F366-G366-H366),2)</x:f>
        <x:v>0</x:v>
      </x:c>
    </x:row>
    <x:row r="367" ht="24" customHeight="1">
      <x:c r="A367" s="14" t="n">
        <x:v>45839</x:v>
      </x:c>
      <x:c r="B367" s="2" t="str">
        <x:v>E-commerce</x:v>
      </x:c>
      <x:c r="C367" s="2" t="str">
        <x:v>Nordeste</x:v>
      </x:c>
      <x:c r="D367" s="2" t="str">
        <x:v>M-0362</x:v>
      </x:c>
      <x:c r="E367" s="16" t="n">
        <x:v>148</x:v>
      </x:c>
      <x:c r="F367" s="17" t="n">
        <x:v>172018.13</x:v>
      </x:c>
      <x:c r="G367" s="17" t="n">
        <x:v>7167.42</x:v>
      </x:c>
      <x:c r="H367" s="17" t="n">
        <x:v>4300.45</x:v>
      </x:c>
      <x:c r="I367" s="17" t="n">
        <x:v>160550.26</x:v>
      </x:c>
      <x:c r="J367" s="17" t="n">
        <x:v>97447.08</x:v>
      </x:c>
      <x:c r="K367" s="17" t="n">
        <x:v>11238.52</x:v>
      </x:c>
      <x:c r="L367" s="17" t="n">
        <x:v>3853.21</x:v>
      </x:c>
      <x:c r="M367" s="17" t="n">
        <x:v>12041.27</x:v>
      </x:c>
      <x:c r="N367" s="16" t="n">
        <x:v>77</x:v>
      </x:c>
      <x:c r="O367" s="16" t="n">
        <x:v>24</x:v>
      </x:c>
      <x:c r="P367" s="16" t="n">
        <x:v>5</x:v>
      </x:c>
      <x:c r="Q367" s="16" t="n">
        <x:v>47</x:v>
      </x:c>
      <x:c r="R367" s="16" t="n">
        <x:v>26</x:v>
      </x:c>
      <x:c r="S367" s="16" t="n">
        <x:v>10</x:v>
      </x:c>
      <x:c r="T367" s="15" t="n">
        <x:f>YEAR(A367)</x:f>
        <x:v>2025</x:v>
      </x:c>
      <x:c r="U367" s="15" t="n">
        <x:f>ROUNDUP(MONTH(A367)/3,0)</x:f>
        <x:v>3</x:v>
      </x:c>
      <x:c r="V367" s="18" t="n">
        <x:f>I367-J367</x:f>
        <x:v>63103.18000000001</x:v>
      </x:c>
      <x:c r="W367" s="19" t="n">
        <x:f>IF(I367=0,"",V367/I367)</x:f>
        <x:v>0.3930431504751223</x:v>
      </x:c>
      <x:c r="X367" s="18" t="n">
        <x:f>I367-J367-K367-L367-M367</x:f>
        <x:v>35970.18000000001</x:v>
      </x:c>
      <x:c r="Y367" s="19" t="n">
        <x:f>IF(I367=0,"",X367/I367)</x:f>
        <x:v>0.22404311272993271</x:v>
      </x:c>
      <x:c r="Z367" s="18" t="n">
        <x:f>IF(E367=0,"",F367/E367)</x:f>
        <x:v>1162.2846621621622</x:v>
      </x:c>
      <x:c r="AA367" s="18" t="n">
        <x:f>IF(N367=0,"",M367/N367)</x:f>
        <x:v>156.38012987012988</x:v>
      </x:c>
      <x:c r="AB367" s="19" t="n">
        <x:f>IF(E367=0,"",O367/E367)</x:f>
        <x:v>0.16216216216216217</x:v>
      </x:c>
      <x:c r="AC367" s="19" t="n">
        <x:f>IF(E367=0,"",P367/E367)</x:f>
        <x:v>0.033783783783783786</x:v>
      </x:c>
      <x:c r="AD367" s="20" t="n">
        <x:f>IF(Q367=0,"",100*(R367-S367)/Q367)</x:f>
        <x:v>34.04255319148936</x:v>
      </x:c>
      <x:c r="AE367" s="19" t="n">
        <x:f>IF(F367=0,"",G367/F367)</x:f>
        <x:v>0.04166665455554016</x:v>
      </x:c>
      <x:c r="AF367" s="18" t="n">
        <x:f>ROUND(I367-(F367-G367-H367),2)</x:f>
        <x:v>0</x:v>
      </x:c>
    </x:row>
    <x:row r="368" ht="24" customHeight="1">
      <x:c r="A368" s="14" t="n">
        <x:v>45839</x:v>
      </x:c>
      <x:c r="B368" s="2" t="str">
        <x:v>E-commerce</x:v>
      </x:c>
      <x:c r="C368" s="2" t="str">
        <x:v>Sul</x:v>
      </x:c>
      <x:c r="D368" s="2" t="str">
        <x:v>M-0363</x:v>
      </x:c>
      <x:c r="E368" s="16" t="n">
        <x:v>108</x:v>
      </x:c>
      <x:c r="F368" s="17" t="n">
        <x:v>124980.88</x:v>
      </x:c>
      <x:c r="G368" s="17" t="n">
        <x:v>5207.54</x:v>
      </x:c>
      <x:c r="H368" s="17" t="n">
        <x:v>3124.52</x:v>
      </x:c>
      <x:c r="I368" s="17" t="n">
        <x:v>116648.82</x:v>
      </x:c>
      <x:c r="J368" s="17" t="n">
        <x:v>68994.21</x:v>
      </x:c>
      <x:c r="K368" s="17" t="n">
        <x:v>8165.42</x:v>
      </x:c>
      <x:c r="L368" s="17" t="n">
        <x:v>2799.57</x:v>
      </x:c>
      <x:c r="M368" s="17" t="n">
        <x:v>8748.66</x:v>
      </x:c>
      <x:c r="N368" s="16" t="n">
        <x:v>56</x:v>
      </x:c>
      <x:c r="O368" s="16" t="n">
        <x:v>17</x:v>
      </x:c>
      <x:c r="P368" s="16" t="n">
        <x:v>4</x:v>
      </x:c>
      <x:c r="Q368" s="16" t="n">
        <x:v>35</x:v>
      </x:c>
      <x:c r="R368" s="16" t="n">
        <x:v>20</x:v>
      </x:c>
      <x:c r="S368" s="16" t="n">
        <x:v>8</x:v>
      </x:c>
      <x:c r="T368" s="15" t="n">
        <x:f>YEAR(A368)</x:f>
        <x:v>2025</x:v>
      </x:c>
      <x:c r="U368" s="15" t="n">
        <x:f>ROUNDUP(MONTH(A368)/3,0)</x:f>
        <x:v>3</x:v>
      </x:c>
      <x:c r="V368" s="18" t="n">
        <x:f>I368-J368</x:f>
        <x:v>47654.61</x:v>
      </x:c>
      <x:c r="W368" s="19" t="n">
        <x:f>IF(I368=0,"",V368/I368)</x:f>
        <x:v>0.4085305792206042</x:v>
      </x:c>
      <x:c r="X368" s="18" t="n">
        <x:f>I368-J368-K368-L368-M368</x:f>
        <x:v>27940.960000000003</x:v>
      </x:c>
      <x:c r="Y368" s="19" t="n">
        <x:f>IF(I368=0,"",X368/I368)</x:f>
        <x:v>0.23953058419279338</x:v>
      </x:c>
      <x:c r="Z368" s="18" t="n">
        <x:f>IF(E368=0,"",F368/E368)</x:f>
        <x:v>1157.2303703703703</x:v>
      </x:c>
      <x:c r="AA368" s="18" t="n">
        <x:f>IF(N368=0,"",M368/N368)</x:f>
        <x:v>156.22607142857143</x:v>
      </x:c>
      <x:c r="AB368" s="19" t="n">
        <x:f>IF(E368=0,"",O368/E368)</x:f>
        <x:v>0.1574074074074074</x:v>
      </x:c>
      <x:c r="AC368" s="19" t="n">
        <x:f>IF(E368=0,"",P368/E368)</x:f>
        <x:v>0.037037037037037035</x:v>
      </x:c>
      <x:c r="AD368" s="20" t="n">
        <x:f>IF(Q368=0,"",100*(R368-S368)/Q368)</x:f>
        <x:v>34.285714285714285</x:v>
      </x:c>
      <x:c r="AE368" s="19" t="n">
        <x:f>IF(F368=0,"",G368/F368)</x:f>
        <x:v>0.04166669333741289</x:v>
      </x:c>
      <x:c r="AF368" s="18" t="n">
        <x:f>ROUND(I368-(F368-G368-H368),2)</x:f>
        <x:v>0</x:v>
      </x:c>
    </x:row>
    <x:row r="369" ht="24" customHeight="1">
      <x:c r="A369" s="14" t="n">
        <x:v>45839</x:v>
      </x:c>
      <x:c r="B369" s="2" t="str">
        <x:v>E-commerce</x:v>
      </x:c>
      <x:c r="C369" s="2" t="str">
        <x:v>Centro-Oeste</x:v>
      </x:c>
      <x:c r="D369" s="2" t="str">
        <x:v>M-0364</x:v>
      </x:c>
      <x:c r="E369" s="16" t="n">
        <x:v>86</x:v>
      </x:c>
      <x:c r="F369" s="17" t="n">
        <x:v>99834.94</x:v>
      </x:c>
      <x:c r="G369" s="17" t="n">
        <x:v>4159.79</x:v>
      </x:c>
      <x:c r="H369" s="17" t="n">
        <x:v>2495.87</x:v>
      </x:c>
      <x:c r="I369" s="17" t="n">
        <x:v>93179.28</x:v>
      </x:c>
      <x:c r="J369" s="17" t="n">
        <x:v>59328.77</x:v>
      </x:c>
      <x:c r="K369" s="17" t="n">
        <x:v>6522.55</x:v>
      </x:c>
      <x:c r="L369" s="17" t="n">
        <x:v>2236.3</x:v>
      </x:c>
      <x:c r="M369" s="17" t="n">
        <x:v>6988.45</x:v>
      </x:c>
      <x:c r="N369" s="16" t="n">
        <x:v>45</x:v>
      </x:c>
      <x:c r="O369" s="16" t="n">
        <x:v>14</x:v>
      </x:c>
      <x:c r="P369" s="16" t="n">
        <x:v>3</x:v>
      </x:c>
      <x:c r="Q369" s="16" t="n">
        <x:v>28</x:v>
      </x:c>
      <x:c r="R369" s="16" t="n">
        <x:v>16</x:v>
      </x:c>
      <x:c r="S369" s="16" t="n">
        <x:v>6</x:v>
      </x:c>
      <x:c r="T369" s="15" t="n">
        <x:f>YEAR(A369)</x:f>
        <x:v>2025</x:v>
      </x:c>
      <x:c r="U369" s="15" t="n">
        <x:f>ROUNDUP(MONTH(A369)/3,0)</x:f>
        <x:v>3</x:v>
      </x:c>
      <x:c r="V369" s="18" t="n">
        <x:f>I369-J369</x:f>
        <x:v>33850.51</x:v>
      </x:c>
      <x:c r="W369" s="19" t="n">
        <x:f>IF(I369=0,"",V369/I369)</x:f>
        <x:v>0.36328366134617057</x:v>
      </x:c>
      <x:c r="X369" s="18" t="n">
        <x:f>I369-J369-K369-L369-M369</x:f>
        <x:v>18103.210000000003</x:v>
      </x:c>
      <x:c r="Y369" s="19" t="n">
        <x:f>IF(I369=0,"",X369/I369)</x:f>
        <x:v>0.19428364331641115</x:v>
      </x:c>
      <x:c r="Z369" s="18" t="n">
        <x:f>IF(E369=0,"",F369/E369)</x:f>
        <x:v>1160.8713953488373</x:v>
      </x:c>
      <x:c r="AA369" s="18" t="n">
        <x:f>IF(N369=0,"",M369/N369)</x:f>
        <x:v>155.29888888888888</x:v>
      </x:c>
      <x:c r="AB369" s="19" t="n">
        <x:f>IF(E369=0,"",O369/E369)</x:f>
        <x:v>0.16279069767441862</x:v>
      </x:c>
      <x:c r="AC369" s="19" t="n">
        <x:f>IF(E369=0,"",P369/E369)</x:f>
        <x:v>0.03488372093023256</x:v>
      </x:c>
      <x:c r="AD369" s="20" t="n">
        <x:f>IF(Q369=0,"",100*(R369-S369)/Q369)</x:f>
        <x:v>35.714285714285715</x:v>
      </x:c>
      <x:c r="AE369" s="19" t="n">
        <x:f>IF(F369=0,"",G369/F369)</x:f>
        <x:v>0.04166667501377774</x:v>
      </x:c>
      <x:c r="AF369" s="18" t="n">
        <x:f>ROUND(I369-(F369-G369-H369),2)</x:f>
        <x:v>0</x:v>
      </x:c>
    </x:row>
    <x:row r="370" ht="24" customHeight="1">
      <x:c r="A370" s="14" t="n">
        <x:v>45839</x:v>
      </x:c>
      <x:c r="B370" s="2" t="str">
        <x:v>Lojas</x:v>
      </x:c>
      <x:c r="C370" s="2" t="str">
        <x:v>Sudeste</x:v>
      </x:c>
      <x:c r="D370" s="2" t="str">
        <x:v>M-0365</x:v>
      </x:c>
      <x:c r="E370" s="16" t="n">
        <x:v>182</x:v>
      </x:c>
      <x:c r="F370" s="17" t="n">
        <x:v>211655.11</x:v>
      </x:c>
      <x:c r="G370" s="17" t="n">
        <x:v>8818.96</x:v>
      </x:c>
      <x:c r="H370" s="17" t="n">
        <x:v>5291.38</x:v>
      </x:c>
      <x:c r="I370" s="17" t="n">
        <x:v>197544.77</x:v>
      </x:c>
      <x:c r="J370" s="17" t="n">
        <x:v>126002.04</x:v>
      </x:c>
      <x:c r="K370" s="17" t="n">
        <x:v>9679.69</x:v>
      </x:c>
      <x:c r="L370" s="17" t="n">
        <x:v>4741.07</x:v>
      </x:c>
      <x:c r="M370" s="17" t="n">
        <x:v>3555.81</x:v>
      </x:c>
      <x:c r="N370" s="16" t="n">
        <x:v>51</x:v>
      </x:c>
      <x:c r="O370" s="16" t="n">
        <x:v>29</x:v>
      </x:c>
      <x:c r="P370" s="16" t="n">
        <x:v>6</x:v>
      </x:c>
      <x:c r="Q370" s="16" t="n">
        <x:v>58</x:v>
      </x:c>
      <x:c r="R370" s="16" t="n">
        <x:v>32</x:v>
      </x:c>
      <x:c r="S370" s="16" t="n">
        <x:v>13</x:v>
      </x:c>
      <x:c r="T370" s="15" t="n">
        <x:f>YEAR(A370)</x:f>
        <x:v>2025</x:v>
      </x:c>
      <x:c r="U370" s="15" t="n">
        <x:f>ROUNDUP(MONTH(A370)/3,0)</x:f>
        <x:v>3</x:v>
      </x:c>
      <x:c r="V370" s="18" t="n">
        <x:f>I370-J370</x:f>
        <x:v>71542.73</x:v>
      </x:c>
      <x:c r="W370" s="19" t="n">
        <x:f>IF(I370=0,"",V370/I370)</x:f>
        <x:v>0.3621595752699502</x:v>
      </x:c>
      <x:c r="X370" s="18" t="n">
        <x:f>I370-J370-K370-L370-M370</x:f>
        <x:v>53566.159999999996</x:v>
      </x:c>
      <x:c r="Y370" s="19" t="n">
        <x:f>IF(I370=0,"",X370/I370)</x:f>
        <x:v>0.2711595958728748</x:v>
      </x:c>
      <x:c r="Z370" s="18" t="n">
        <x:f>IF(E370=0,"",F370/E370)</x:f>
        <x:v>1162.9401648351648</x:v>
      </x:c>
      <x:c r="AA370" s="18" t="n">
        <x:f>IF(N370=0,"",M370/N370)</x:f>
        <x:v>69.72176470588235</x:v>
      </x:c>
      <x:c r="AB370" s="19" t="n">
        <x:f>IF(E370=0,"",O370/E370)</x:f>
        <x:v>0.15934065934065933</x:v>
      </x:c>
      <x:c r="AC370" s="19" t="n">
        <x:f>IF(E370=0,"",P370/E370)</x:f>
        <x:v>0.03296703296703297</x:v>
      </x:c>
      <x:c r="AD370" s="20" t="n">
        <x:f>IF(Q370=0,"",100*(R370-S370)/Q370)</x:f>
        <x:v>32.758620689655174</x:v>
      </x:c>
      <x:c r="AE370" s="19" t="n">
        <x:f>IF(F370=0,"",G370/F370)</x:f>
        <x:v>0.041666652886386726</x:v>
      </x:c>
      <x:c r="AF370" s="18" t="n">
        <x:f>ROUND(I370-(F370-G370-H370),2)</x:f>
        <x:v>0</x:v>
      </x:c>
    </x:row>
    <x:row r="371" ht="24" customHeight="1">
      <x:c r="A371" s="14" t="n">
        <x:v>45839</x:v>
      </x:c>
      <x:c r="B371" s="2" t="str">
        <x:v>Lojas</x:v>
      </x:c>
      <x:c r="C371" s="2" t="str">
        <x:v>Nordeste</x:v>
      </x:c>
      <x:c r="D371" s="2" t="str">
        <x:v>M-0366</x:v>
      </x:c>
      <x:c r="E371" s="16" t="n">
        <x:v>126</x:v>
      </x:c>
      <x:c r="F371" s="17" t="n">
        <x:v>146525.13</x:v>
      </x:c>
      <x:c r="G371" s="17" t="n">
        <x:v>6105.21</x:v>
      </x:c>
      <x:c r="H371" s="17" t="n">
        <x:v>3663.13</x:v>
      </x:c>
      <x:c r="I371" s="17" t="n">
        <x:v>136756.79</x:v>
      </x:c>
      <x:c r="J371" s="17" t="n">
        <x:v>82593.72</x:v>
      </x:c>
      <x:c r="K371" s="17" t="n">
        <x:v>6701.08</x:v>
      </x:c>
      <x:c r="L371" s="17" t="n">
        <x:v>3282.16</x:v>
      </x:c>
      <x:c r="M371" s="17" t="n">
        <x:v>2461.62</x:v>
      </x:c>
      <x:c r="N371" s="16" t="n">
        <x:v>35</x:v>
      </x:c>
      <x:c r="O371" s="16" t="n">
        <x:v>20</x:v>
      </x:c>
      <x:c r="P371" s="16" t="n">
        <x:v>4</x:v>
      </x:c>
      <x:c r="Q371" s="16" t="n">
        <x:v>40</x:v>
      </x:c>
      <x:c r="R371" s="16" t="n">
        <x:v>22</x:v>
      </x:c>
      <x:c r="S371" s="16" t="n">
        <x:v>9</x:v>
      </x:c>
      <x:c r="T371" s="15" t="n">
        <x:f>YEAR(A371)</x:f>
        <x:v>2025</x:v>
      </x:c>
      <x:c r="U371" s="15" t="n">
        <x:f>ROUNDUP(MONTH(A371)/3,0)</x:f>
        <x:v>3</x:v>
      </x:c>
      <x:c r="V371" s="18" t="n">
        <x:f>I371-J371</x:f>
        <x:v>54163.07000000001</x:v>
      </x:c>
      <x:c r="W371" s="19" t="n">
        <x:f>IF(I371=0,"",V371/I371)</x:f>
        <x:v>0.39605397289597105</x:v>
      </x:c>
      <x:c r="X371" s="18" t="n">
        <x:f>I371-J371-K371-L371-M371</x:f>
        <x:v>41718.21</x:v>
      </x:c>
      <x:c r="Y371" s="19" t="n">
        <x:f>IF(I371=0,"",X371/I371)</x:f>
        <x:v>0.3050540305896329</x:v>
      </x:c>
      <x:c r="Z371" s="18" t="n">
        <x:f>IF(E371=0,"",F371/E371)</x:f>
        <x:v>1162.8978571428572</x:v>
      </x:c>
      <x:c r="AA371" s="18" t="n">
        <x:f>IF(N371=0,"",M371/N371)</x:f>
        <x:v>70.332</x:v>
      </x:c>
      <x:c r="AB371" s="19" t="n">
        <x:f>IF(E371=0,"",O371/E371)</x:f>
        <x:v>0.15873015873015872</x:v>
      </x:c>
      <x:c r="AC371" s="19" t="n">
        <x:f>IF(E371=0,"",P371/E371)</x:f>
        <x:v>0.031746031746031744</x:v>
      </x:c>
      <x:c r="AD371" s="20" t="n">
        <x:f>IF(Q371=0,"",100*(R371-S371)/Q371)</x:f>
        <x:v>32.5</x:v>
      </x:c>
      <x:c r="AE371" s="19" t="n">
        <x:f>IF(F371=0,"",G371/F371)</x:f>
        <x:v>0.04166664107378714</x:v>
      </x:c>
      <x:c r="AF371" s="18" t="n">
        <x:f>ROUND(I371-(F371-G371-H371),2)</x:f>
        <x:v>0</x:v>
      </x:c>
    </x:row>
    <x:row r="372" ht="24" customHeight="1">
      <x:c r="A372" s="14" t="n">
        <x:v>45839</x:v>
      </x:c>
      <x:c r="B372" s="2" t="str">
        <x:v>Lojas</x:v>
      </x:c>
      <x:c r="C372" s="2" t="str">
        <x:v>Sul</x:v>
      </x:c>
      <x:c r="D372" s="2" t="str">
        <x:v>M-0367</x:v>
      </x:c>
      <x:c r="E372" s="16" t="n">
        <x:v>90</x:v>
      </x:c>
      <x:c r="F372" s="17" t="n">
        <x:v>104397.28</x:v>
      </x:c>
      <x:c r="G372" s="17" t="n">
        <x:v>4349.89</x:v>
      </x:c>
      <x:c r="H372" s="17" t="n">
        <x:v>2609.93</x:v>
      </x:c>
      <x:c r="I372" s="17" t="n">
        <x:v>97437.46</x:v>
      </x:c>
      <x:c r="J372" s="17" t="n">
        <x:v>61317.57</x:v>
      </x:c>
      <x:c r="K372" s="17" t="n">
        <x:v>4774.44</x:v>
      </x:c>
      <x:c r="L372" s="17" t="n">
        <x:v>2338.5</x:v>
      </x:c>
      <x:c r="M372" s="17" t="n">
        <x:v>1753.87</x:v>
      </x:c>
      <x:c r="N372" s="16" t="n">
        <x:v>25</x:v>
      </x:c>
      <x:c r="O372" s="16" t="n">
        <x:v>14</x:v>
      </x:c>
      <x:c r="P372" s="16" t="n">
        <x:v>3</x:v>
      </x:c>
      <x:c r="Q372" s="16" t="n">
        <x:v>29</x:v>
      </x:c>
      <x:c r="R372" s="16" t="n">
        <x:v>16</x:v>
      </x:c>
      <x:c r="S372" s="16" t="n">
        <x:v>6</x:v>
      </x:c>
      <x:c r="T372" s="15" t="n">
        <x:f>YEAR(A372)</x:f>
        <x:v>2025</x:v>
      </x:c>
      <x:c r="U372" s="15" t="n">
        <x:f>ROUNDUP(MONTH(A372)/3,0)</x:f>
        <x:v>3</x:v>
      </x:c>
      <x:c r="V372" s="18" t="n">
        <x:f>I372-J372</x:f>
        <x:v>36119.89000000001</x:v>
      </x:c>
      <x:c r="W372" s="19" t="n">
        <x:f>IF(I372=0,"",V372/I372)</x:f>
        <x:v>0.3706981893821945</x:v>
      </x:c>
      <x:c r="X372" s="18" t="n">
        <x:f>I372-J372-K372-L372-M372</x:f>
        <x:v>27253.08000000001</x:v>
      </x:c>
      <x:c r="Y372" s="19" t="n">
        <x:f>IF(I372=0,"",X372/I372)</x:f>
        <x:v>0.2796981776823822</x:v>
      </x:c>
      <x:c r="Z372" s="18" t="n">
        <x:f>IF(E372=0,"",F372/E372)</x:f>
        <x:v>1159.9697777777778</x:v>
      </x:c>
      <x:c r="AA372" s="18" t="n">
        <x:f>IF(N372=0,"",M372/N372)</x:f>
        <x:v>70.1548</x:v>
      </x:c>
      <x:c r="AB372" s="19" t="n">
        <x:f>IF(E372=0,"",O372/E372)</x:f>
        <x:v>0.15555555555555556</x:v>
      </x:c>
      <x:c r="AC372" s="19" t="n">
        <x:f>IF(E372=0,"",P372/E372)</x:f>
        <x:v>0.03333333333333333</x:v>
      </x:c>
      <x:c r="AD372" s="20" t="n">
        <x:f>IF(Q372=0,"",100*(R372-S372)/Q372)</x:f>
        <x:v>34.48275862068966</x:v>
      </x:c>
      <x:c r="AE372" s="19" t="n">
        <x:f>IF(F372=0,"",G372/F372)</x:f>
        <x:v>0.04166669859597875</x:v>
      </x:c>
      <x:c r="AF372" s="18" t="n">
        <x:f>ROUND(I372-(F372-G372-H372),2)</x:f>
        <x:v>0</x:v>
      </x:c>
    </x:row>
    <x:row r="373" ht="24" customHeight="1">
      <x:c r="A373" s="14" t="n">
        <x:v>45839</x:v>
      </x:c>
      <x:c r="B373" s="2" t="str">
        <x:v>Lojas</x:v>
      </x:c>
      <x:c r="C373" s="2" t="str">
        <x:v>Centro-Oeste</x:v>
      </x:c>
      <x:c r="D373" s="2" t="str">
        <x:v>M-0368</x:v>
      </x:c>
      <x:c r="E373" s="16" t="n">
        <x:v>79</x:v>
      </x:c>
      <x:c r="F373" s="17" t="n">
        <x:v>92302.84</x:v>
      </x:c>
      <x:c r="G373" s="17" t="n">
        <x:v>3845.95</x:v>
      </x:c>
      <x:c r="H373" s="17" t="n">
        <x:v>2307.57</x:v>
      </x:c>
      <x:c r="I373" s="17" t="n">
        <x:v>86149.32</x:v>
      </x:c>
      <x:c r="J373" s="17" t="n">
        <x:v>53929.43</x:v>
      </x:c>
      <x:c r="K373" s="17" t="n">
        <x:v>4221.32</x:v>
      </x:c>
      <x:c r="L373" s="17" t="n">
        <x:v>2067.58</x:v>
      </x:c>
      <x:c r="M373" s="17" t="n">
        <x:v>1550.69</x:v>
      </x:c>
      <x:c r="N373" s="16" t="n">
        <x:v>22</x:v>
      </x:c>
      <x:c r="O373" s="16" t="n">
        <x:v>13</x:v>
      </x:c>
      <x:c r="P373" s="16" t="n">
        <x:v>3</x:v>
      </x:c>
      <x:c r="Q373" s="16" t="n">
        <x:v>25</x:v>
      </x:c>
      <x:c r="R373" s="16" t="n">
        <x:v>14</x:v>
      </x:c>
      <x:c r="S373" s="16" t="n">
        <x:v>6</x:v>
      </x:c>
      <x:c r="T373" s="15" t="n">
        <x:f>YEAR(A373)</x:f>
        <x:v>2025</x:v>
      </x:c>
      <x:c r="U373" s="15" t="n">
        <x:f>ROUNDUP(MONTH(A373)/3,0)</x:f>
        <x:v>3</x:v>
      </x:c>
      <x:c r="V373" s="18" t="n">
        <x:f>I373-J373</x:f>
        <x:v>32219.890000000007</x:v>
      </x:c>
      <x:c r="W373" s="19" t="n">
        <x:f>IF(I373=0,"",V373/I373)</x:f>
        <x:v>0.3740005144555988</x:v>
      </x:c>
      <x:c r="X373" s="18" t="n">
        <x:f>I373-J373-K373-L373-M373</x:f>
        <x:v>24380.300000000007</x:v>
      </x:c>
      <x:c r="Y373" s="19" t="n">
        <x:f>IF(I373=0,"",X373/I373)</x:f>
        <x:v>0.28300049263302374</x:v>
      </x:c>
      <x:c r="Z373" s="18" t="n">
        <x:f>IF(E373=0,"",F373/E373)</x:f>
        <x:v>1168.3903797468354</x:v>
      </x:c>
      <x:c r="AA373" s="18" t="n">
        <x:f>IF(N373=0,"",M373/N373)</x:f>
        <x:v>70.48590909090909</x:v>
      </x:c>
      <x:c r="AB373" s="19" t="n">
        <x:f>IF(E373=0,"",O373/E373)</x:f>
        <x:v>0.16455696202531644</x:v>
      </x:c>
      <x:c r="AC373" s="19" t="n">
        <x:f>IF(E373=0,"",P373/E373)</x:f>
        <x:v>0.0379746835443038</x:v>
      </x:c>
      <x:c r="AD373" s="20" t="n">
        <x:f>IF(Q373=0,"",100*(R373-S373)/Q373)</x:f>
        <x:v>32</x:v>
      </x:c>
      <x:c r="AE373" s="19" t="n">
        <x:f>IF(F373=0,"",G373/F373)</x:f>
        <x:v>0.04166664861016194</x:v>
      </x:c>
      <x:c r="AF373" s="18" t="n">
        <x:f>ROUND(I373-(F373-G373-H373),2)</x:f>
        <x:v>0</x:v>
      </x:c>
    </x:row>
    <x:row r="374" ht="24" customHeight="1">
      <x:c r="A374" s="14" t="n">
        <x:v>45839</x:v>
      </x:c>
      <x:c r="B374" s="2" t="str">
        <x:v>B2B</x:v>
      </x:c>
      <x:c r="C374" s="2" t="str">
        <x:v>Sudeste</x:v>
      </x:c>
      <x:c r="D374" s="2" t="str">
        <x:v>M-0369</x:v>
      </x:c>
      <x:c r="E374" s="16" t="n">
        <x:v>117</x:v>
      </x:c>
      <x:c r="F374" s="17" t="n">
        <x:v>135696.1</x:v>
      </x:c>
      <x:c r="G374" s="17" t="n">
        <x:v>5654</x:v>
      </x:c>
      <x:c r="H374" s="17" t="n">
        <x:v>3392.4</x:v>
      </x:c>
      <x:c r="I374" s="17" t="n">
        <x:v>126649.7</x:v>
      </x:c>
      <x:c r="J374" s="17" t="n">
        <x:v>78312.89</x:v>
      </x:c>
      <x:c r="K374" s="17" t="n">
        <x:v>6205.84</x:v>
      </x:c>
      <x:c r="L374" s="17" t="n">
        <x:v>3039.59</x:v>
      </x:c>
      <x:c r="M374" s="17" t="n">
        <x:v>2279.69</x:v>
      </x:c>
      <x:c r="N374" s="16" t="n">
        <x:v>33</x:v>
      </x:c>
      <x:c r="O374" s="16" t="n">
        <x:v>19</x:v>
      </x:c>
      <x:c r="P374" s="16" t="n">
        <x:v>4</x:v>
      </x:c>
      <x:c r="Q374" s="16" t="n">
        <x:v>37</x:v>
      </x:c>
      <x:c r="R374" s="16" t="n">
        <x:v>21</x:v>
      </x:c>
      <x:c r="S374" s="16" t="n">
        <x:v>8</x:v>
      </x:c>
      <x:c r="T374" s="15" t="n">
        <x:f>YEAR(A374)</x:f>
        <x:v>2025</x:v>
      </x:c>
      <x:c r="U374" s="15" t="n">
        <x:f>ROUNDUP(MONTH(A374)/3,0)</x:f>
        <x:v>3</x:v>
      </x:c>
      <x:c r="V374" s="18" t="n">
        <x:f>I374-J374</x:f>
        <x:v>48336.81</x:v>
      </x:c>
      <x:c r="W374" s="19" t="n">
        <x:f>IF(I374=0,"",V374/I374)</x:f>
        <x:v>0.3816575167568498</x:v>
      </x:c>
      <x:c r="X374" s="18" t="n">
        <x:f>I374-J374-K374-L374-M374</x:f>
        <x:v>36811.69</x:v>
      </x:c>
      <x:c r="Y374" s="19" t="n">
        <x:f>IF(I374=0,"",X374/I374)</x:f>
        <x:v>0.2906575380754949</x:v>
      </x:c>
      <x:c r="Z374" s="18" t="n">
        <x:f>IF(E374=0,"",F374/E374)</x:f>
        <x:v>1159.7957264957265</x:v>
      </x:c>
      <x:c r="AA374" s="18" t="n">
        <x:f>IF(N374=0,"",M374/N374)</x:f>
        <x:v>69.08151515151515</x:v>
      </x:c>
      <x:c r="AB374" s="19" t="n">
        <x:f>IF(E374=0,"",O374/E374)</x:f>
        <x:v>0.1623931623931624</x:v>
      </x:c>
      <x:c r="AC374" s="19" t="n">
        <x:f>IF(E374=0,"",P374/E374)</x:f>
        <x:v>0.03418803418803419</x:v>
      </x:c>
      <x:c r="AD374" s="20" t="n">
        <x:f>IF(Q374=0,"",100*(R374-S374)/Q374)</x:f>
        <x:v>35.13513513513514</x:v>
      </x:c>
      <x:c r="AE374" s="19" t="n">
        <x:f>IF(F374=0,"",G374/F374)</x:f>
        <x:v>0.04166663596079769</x:v>
      </x:c>
      <x:c r="AF374" s="18" t="n">
        <x:f>ROUND(I374-(F374-G374-H374),2)</x:f>
        <x:v>0</x:v>
      </x:c>
    </x:row>
    <x:row r="375" ht="24" customHeight="1">
      <x:c r="A375" s="14" t="n">
        <x:v>45839</x:v>
      </x:c>
      <x:c r="B375" s="2" t="str">
        <x:v>B2B</x:v>
      </x:c>
      <x:c r="C375" s="2" t="str">
        <x:v>Nordeste</x:v>
      </x:c>
      <x:c r="D375" s="2" t="str">
        <x:v>M-0370</x:v>
      </x:c>
      <x:c r="E375" s="16" t="n">
        <x:v>68</x:v>
      </x:c>
      <x:c r="F375" s="17" t="n">
        <x:v>79578.24</x:v>
      </x:c>
      <x:c r="G375" s="17" t="n">
        <x:v>3315.76</x:v>
      </x:c>
      <x:c r="H375" s="17" t="n">
        <x:v>1989.46</x:v>
      </x:c>
      <x:c r="I375" s="17" t="n">
        <x:v>74273.02</x:v>
      </x:c>
      <x:c r="J375" s="17" t="n">
        <x:v>45908.63</x:v>
      </x:c>
      <x:c r="K375" s="17" t="n">
        <x:v>3639.38</x:v>
      </x:c>
      <x:c r="L375" s="17" t="n">
        <x:v>1782.55</x:v>
      </x:c>
      <x:c r="M375" s="17" t="n">
        <x:v>1336.91</x:v>
      </x:c>
      <x:c r="N375" s="16" t="n">
        <x:v>19</x:v>
      </x:c>
      <x:c r="O375" s="16" t="n">
        <x:v>11</x:v>
      </x:c>
      <x:c r="P375" s="16" t="n">
        <x:v>2</x:v>
      </x:c>
      <x:c r="Q375" s="16" t="n">
        <x:v>22</x:v>
      </x:c>
      <x:c r="R375" s="16" t="n">
        <x:v>12</x:v>
      </x:c>
      <x:c r="S375" s="16" t="n">
        <x:v>5</x:v>
      </x:c>
      <x:c r="T375" s="15" t="n">
        <x:f>YEAR(A375)</x:f>
        <x:v>2025</x:v>
      </x:c>
      <x:c r="U375" s="15" t="n">
        <x:f>ROUNDUP(MONTH(A375)/3,0)</x:f>
        <x:v>3</x:v>
      </x:c>
      <x:c r="V375" s="18" t="n">
        <x:f>I375-J375</x:f>
        <x:v>28364.390000000007</x:v>
      </x:c>
      <x:c r="W375" s="19" t="n">
        <x:f>IF(I375=0,"",V375/I375)</x:f>
        <x:v>0.38189358666175155</x:v>
      </x:c>
      <x:c r="X375" s="18" t="n">
        <x:f>I375-J375-K375-L375-M375</x:f>
        <x:v>21605.550000000007</x:v>
      </x:c>
      <x:c r="Y375" s="19" t="n">
        <x:f>IF(I375=0,"",X375/I375)</x:f>
        <x:v>0.2908936515574566</x:v>
      </x:c>
      <x:c r="Z375" s="18" t="n">
        <x:f>IF(E375=0,"",F375/E375)</x:f>
        <x:v>1170.2682352941176</x:v>
      </x:c>
      <x:c r="AA375" s="18" t="n">
        <x:f>IF(N375=0,"",M375/N375)</x:f>
        <x:v>70.36368421052632</x:v>
      </x:c>
      <x:c r="AB375" s="19" t="n">
        <x:f>IF(E375=0,"",O375/E375)</x:f>
        <x:v>0.16176470588235295</x:v>
      </x:c>
      <x:c r="AC375" s="19" t="n">
        <x:f>IF(E375=0,"",P375/E375)</x:f>
        <x:v>0.029411764705882353</x:v>
      </x:c>
      <x:c r="AD375" s="20" t="n">
        <x:f>IF(Q375=0,"",100*(R375-S375)/Q375)</x:f>
        <x:v>31.818181818181817</x:v>
      </x:c>
      <x:c r="AE375" s="19" t="n">
        <x:f>IF(F375=0,"",G375/F375)</x:f>
        <x:v>0.041666666666666664</x:v>
      </x:c>
      <x:c r="AF375" s="18" t="n">
        <x:f>ROUND(I375-(F375-G375-H375),2)</x:f>
        <x:v>0</x:v>
      </x:c>
    </x:row>
    <x:row r="376" ht="24" customHeight="1">
      <x:c r="A376" s="14" t="n">
        <x:v>45839</x:v>
      </x:c>
      <x:c r="B376" s="2" t="str">
        <x:v>B2B</x:v>
      </x:c>
      <x:c r="C376" s="2" t="str">
        <x:v>Sul</x:v>
      </x:c>
      <x:c r="D376" s="2" t="str">
        <x:v>M-0371</x:v>
      </x:c>
      <x:c r="E376" s="16" t="n">
        <x:v>57</x:v>
      </x:c>
      <x:c r="F376" s="17" t="n">
        <x:v>66646.62</x:v>
      </x:c>
      <x:c r="G376" s="17" t="n">
        <x:v>2776.94</x:v>
      </x:c>
      <x:c r="H376" s="17" t="n">
        <x:v>1666.17</x:v>
      </x:c>
      <x:c r="I376" s="17" t="n">
        <x:v>62203.51</x:v>
      </x:c>
      <x:c r="J376" s="17" t="n">
        <x:v>38674.64</x:v>
      </x:c>
      <x:c r="K376" s="17" t="n">
        <x:v>3047.97</x:v>
      </x:c>
      <x:c r="L376" s="17" t="n">
        <x:v>1492.88</x:v>
      </x:c>
      <x:c r="M376" s="17" t="n">
        <x:v>1119.66</x:v>
      </x:c>
      <x:c r="N376" s="16" t="n">
        <x:v>16</x:v>
      </x:c>
      <x:c r="O376" s="16" t="n">
        <x:v>9</x:v>
      </x:c>
      <x:c r="P376" s="16" t="n">
        <x:v>2</x:v>
      </x:c>
      <x:c r="Q376" s="16" t="n">
        <x:v>18</x:v>
      </x:c>
      <x:c r="R376" s="16" t="n">
        <x:v>10</x:v>
      </x:c>
      <x:c r="S376" s="16" t="n">
        <x:v>4</x:v>
      </x:c>
      <x:c r="T376" s="15" t="n">
        <x:f>YEAR(A376)</x:f>
        <x:v>2025</x:v>
      </x:c>
      <x:c r="U376" s="15" t="n">
        <x:f>ROUNDUP(MONTH(A376)/3,0)</x:f>
        <x:v>3</x:v>
      </x:c>
      <x:c r="V376" s="18" t="n">
        <x:f>I376-J376</x:f>
        <x:v>23528.870000000003</x:v>
      </x:c>
      <x:c r="W376" s="19" t="n">
        <x:f>IF(I376=0,"",V376/I376)</x:f>
        <x:v>0.3782563074013026</x:v>
      </x:c>
      <x:c r="X376" s="18" t="n">
        <x:f>I376-J376-K376-L376-M376</x:f>
        <x:v>17868.36</x:v>
      </x:c>
      <x:c r="Y376" s="19" t="n">
        <x:f>IF(I376=0,"",X376/I376)</x:f>
        <x:v>0.2872564586789395</x:v>
      </x:c>
      <x:c r="Z376" s="18" t="n">
        <x:f>IF(E376=0,"",F376/E376)</x:f>
        <x:v>1169.238947368421</x:v>
      </x:c>
      <x:c r="AA376" s="18" t="n">
        <x:f>IF(N376=0,"",M376/N376)</x:f>
        <x:v>69.97875</x:v>
      </x:c>
      <x:c r="AB376" s="19" t="n">
        <x:f>IF(E376=0,"",O376/E376)</x:f>
        <x:v>0.15789473684210525</x:v>
      </x:c>
      <x:c r="AC376" s="19" t="n">
        <x:f>IF(E376=0,"",P376/E376)</x:f>
        <x:v>0.03508771929824561</x:v>
      </x:c>
      <x:c r="AD376" s="20" t="n">
        <x:f>IF(Q376=0,"",100*(R376-S376)/Q376)</x:f>
        <x:v>33.333333333333336</x:v>
      </x:c>
      <x:c r="AE376" s="19" t="n">
        <x:f>IF(F376=0,"",G376/F376)</x:f>
        <x:v>0.041666629155387026</x:v>
      </x:c>
      <x:c r="AF376" s="18" t="n">
        <x:f>ROUND(I376-(F376-G376-H376),2)</x:f>
        <x:v>0</x:v>
      </x:c>
    </x:row>
    <x:row r="377" ht="24" customHeight="1">
      <x:c r="A377" s="14" t="n">
        <x:v>45839</x:v>
      </x:c>
      <x:c r="B377" s="2" t="str">
        <x:v>B2B</x:v>
      </x:c>
      <x:c r="C377" s="2" t="str">
        <x:v>Centro-Oeste</x:v>
      </x:c>
      <x:c r="D377" s="2" t="str">
        <x:v>M-0372</x:v>
      </x:c>
      <x:c r="E377" s="16" t="n">
        <x:v>42</x:v>
      </x:c>
      <x:c r="F377" s="17" t="n">
        <x:v>49344.46</x:v>
      </x:c>
      <x:c r="G377" s="17" t="n">
        <x:v>2056.02</x:v>
      </x:c>
      <x:c r="H377" s="17" t="n">
        <x:v>1233.61</x:v>
      </x:c>
      <x:c r="I377" s="17" t="n">
        <x:v>46054.83</x:v>
      </x:c>
      <x:c r="J377" s="17" t="n">
        <x:v>28305.38</x:v>
      </x:c>
      <x:c r="K377" s="17" t="n">
        <x:v>2256.69</x:v>
      </x:c>
      <x:c r="L377" s="17" t="n">
        <x:v>1105.32</x:v>
      </x:c>
      <x:c r="M377" s="17" t="n">
        <x:v>828.99</x:v>
      </x:c>
      <x:c r="N377" s="16" t="n">
        <x:v>12</x:v>
      </x:c>
      <x:c r="O377" s="16" t="n">
        <x:v>7</x:v>
      </x:c>
      <x:c r="P377" s="16" t="n">
        <x:v>1</x:v>
      </x:c>
      <x:c r="Q377" s="16" t="n">
        <x:v>13</x:v>
      </x:c>
      <x:c r="R377" s="16" t="n">
        <x:v>7</x:v>
      </x:c>
      <x:c r="S377" s="16" t="n">
        <x:v>3</x:v>
      </x:c>
      <x:c r="T377" s="15" t="n">
        <x:f>YEAR(A377)</x:f>
        <x:v>2025</x:v>
      </x:c>
      <x:c r="U377" s="15" t="n">
        <x:f>ROUNDUP(MONTH(A377)/3,0)</x:f>
        <x:v>3</x:v>
      </x:c>
      <x:c r="V377" s="18" t="n">
        <x:f>I377-J377</x:f>
        <x:v>17749.45</x:v>
      </x:c>
      <x:c r="W377" s="19" t="n">
        <x:f>IF(I377=0,"",V377/I377)</x:f>
        <x:v>0.38539823076102986</x:v>
      </x:c>
      <x:c r="X377" s="18" t="n">
        <x:f>I377-J377-K377-L377-M377</x:f>
        <x:v>13558.45</x:v>
      </x:c>
      <x:c r="Y377" s="19" t="n">
        <x:f>IF(I377=0,"",X377/I377)</x:f>
        <x:v>0.29439800342331085</x:v>
      </x:c>
      <x:c r="Z377" s="18" t="n">
        <x:f>IF(E377=0,"",F377/E377)</x:f>
        <x:v>1174.8680952380953</x:v>
      </x:c>
      <x:c r="AA377" s="18" t="n">
        <x:f>IF(N377=0,"",M377/N377)</x:f>
        <x:v>69.0825</x:v>
      </x:c>
      <x:c r="AB377" s="19" t="n">
        <x:f>IF(E377=0,"",O377/E377)</x:f>
        <x:v>0.16666666666666666</x:v>
      </x:c>
      <x:c r="AC377" s="19" t="n">
        <x:f>IF(E377=0,"",P377/E377)</x:f>
        <x:v>0.023809523809523808</x:v>
      </x:c>
      <x:c r="AD377" s="20" t="n">
        <x:f>IF(Q377=0,"",100*(R377-S377)/Q377)</x:f>
        <x:v>30.76923076923077</x:v>
      </x:c>
      <x:c r="AE377" s="19" t="n">
        <x:f>IF(F377=0,"",G377/F377)</x:f>
        <x:v>0.04166668355474961</x:v>
      </x:c>
      <x:c r="AF377" s="18" t="n">
        <x:f>ROUND(I377-(F377-G377-H377),2)</x:f>
        <x:v>0</x:v>
      </x:c>
    </x:row>
    <x:row r="378" ht="24" customHeight="1">
      <x:c r="A378" s="14" t="n">
        <x:v>45870</x:v>
      </x:c>
      <x:c r="B378" s="2" t="str">
        <x:v>E-commerce</x:v>
      </x:c>
      <x:c r="C378" s="2" t="str">
        <x:v>Sudeste</x:v>
      </x:c>
      <x:c r="D378" s="2" t="str">
        <x:v>M-0373</x:v>
      </x:c>
      <x:c r="E378" s="16" t="n">
        <x:v>234</x:v>
      </x:c>
      <x:c r="F378" s="17" t="n">
        <x:v>272241.04</x:v>
      </x:c>
      <x:c r="G378" s="17" t="n">
        <x:v>11494.62</x:v>
      </x:c>
      <x:c r="H378" s="17" t="n">
        <x:v>6942.15</x:v>
      </x:c>
      <x:c r="I378" s="17" t="n">
        <x:v>253804.27</x:v>
      </x:c>
      <x:c r="J378" s="17" t="n">
        <x:v>152668.98</x:v>
      </x:c>
      <x:c r="K378" s="17" t="n">
        <x:v>18020.1</x:v>
      </x:c>
      <x:c r="L378" s="17" t="n">
        <x:v>6091.3</x:v>
      </x:c>
      <x:c r="M378" s="17" t="n">
        <x:v>19035.32</x:v>
      </x:c>
      <x:c r="N378" s="16" t="n">
        <x:v>122</x:v>
      </x:c>
      <x:c r="O378" s="16" t="n">
        <x:v>38</x:v>
      </x:c>
      <x:c r="P378" s="16" t="n">
        <x:v>8</x:v>
      </x:c>
      <x:c r="Q378" s="16" t="n">
        <x:v>75</x:v>
      </x:c>
      <x:c r="R378" s="16" t="n">
        <x:v>42</x:v>
      </x:c>
      <x:c r="S378" s="16" t="n">
        <x:v>17</x:v>
      </x:c>
      <x:c r="T378" s="15" t="n">
        <x:f>YEAR(A378)</x:f>
        <x:v>2025</x:v>
      </x:c>
      <x:c r="U378" s="15" t="n">
        <x:f>ROUNDUP(MONTH(A378)/3,0)</x:f>
        <x:v>3</x:v>
      </x:c>
      <x:c r="V378" s="18" t="n">
        <x:f>I378-J378</x:f>
        <x:v>101135.28999999998</x:v>
      </x:c>
      <x:c r="W378" s="19" t="n">
        <x:f>IF(I378=0,"",V378/I378)</x:f>
        <x:v>0.39847749606419147</x:v>
      </x:c>
      <x:c r="X378" s="18" t="n">
        <x:f>I378-J378-K378-L378-M378</x:f>
        <x:v>57988.56999999997</x:v>
      </x:c>
      <x:c r="Y378" s="19" t="n">
        <x:f>IF(I378=0,"",X378/I378)</x:f>
        <x:v>0.2284775193104512</x:v>
      </x:c>
      <x:c r="Z378" s="18" t="n">
        <x:f>IF(E378=0,"",F378/E378)</x:f>
        <x:v>1163.4232478632478</x:v>
      </x:c>
      <x:c r="AA378" s="18" t="n">
        <x:f>IF(N378=0,"",M378/N378)</x:f>
        <x:v>156.0272131147541</x:v>
      </x:c>
      <x:c r="AB378" s="19" t="n">
        <x:f>IF(E378=0,"",O378/E378)</x:f>
        <x:v>0.1623931623931624</x:v>
      </x:c>
      <x:c r="AC378" s="19" t="n">
        <x:f>IF(E378=0,"",P378/E378)</x:f>
        <x:v>0.03418803418803419</x:v>
      </x:c>
      <x:c r="AD378" s="20" t="n">
        <x:f>IF(Q378=0,"",100*(R378-S378)/Q378)</x:f>
        <x:v>33.333333333333336</x:v>
      </x:c>
      <x:c r="AE378" s="19" t="n">
        <x:f>IF(F378=0,"",G378/F378)</x:f>
        <x:v>0.04222221601856943</x:v>
      </x:c>
      <x:c r="AF378" s="18" t="n">
        <x:f>ROUND(I378-(F378-G378-H378),2)</x:f>
        <x:v>0</x:v>
      </x:c>
    </x:row>
    <x:row r="379" ht="24" customHeight="1">
      <x:c r="A379" s="14" t="n">
        <x:v>45870</x:v>
      </x:c>
      <x:c r="B379" s="2" t="str">
        <x:v>E-commerce</x:v>
      </x:c>
      <x:c r="C379" s="2" t="str">
        <x:v>Nordeste</x:v>
      </x:c>
      <x:c r="D379" s="2" t="str">
        <x:v>M-0374</x:v>
      </x:c>
      <x:c r="E379" s="16" t="n">
        <x:v>153</x:v>
      </x:c>
      <x:c r="F379" s="17" t="n">
        <x:v>178256.9</x:v>
      </x:c>
      <x:c r="G379" s="17" t="n">
        <x:v>7526.4</x:v>
      </x:c>
      <x:c r="H379" s="17" t="n">
        <x:v>4545.55</x:v>
      </x:c>
      <x:c r="I379" s="17" t="n">
        <x:v>166184.95</x:v>
      </x:c>
      <x:c r="J379" s="17" t="n">
        <x:v>105781.76</x:v>
      </x:c>
      <x:c r="K379" s="17" t="n">
        <x:v>11799.13</x:v>
      </x:c>
      <x:c r="L379" s="17" t="n">
        <x:v>3988.44</x:v>
      </x:c>
      <x:c r="M379" s="17" t="n">
        <x:v>12463.87</x:v>
      </x:c>
      <x:c r="N379" s="16" t="n">
        <x:v>80</x:v>
      </x:c>
      <x:c r="O379" s="16" t="n">
        <x:v>25</x:v>
      </x:c>
      <x:c r="P379" s="16" t="n">
        <x:v>5</x:v>
      </x:c>
      <x:c r="Q379" s="16" t="n">
        <x:v>49</x:v>
      </x:c>
      <x:c r="R379" s="16" t="n">
        <x:v>27</x:v>
      </x:c>
      <x:c r="S379" s="16" t="n">
        <x:v>11</x:v>
      </x:c>
      <x:c r="T379" s="15" t="n">
        <x:f>YEAR(A379)</x:f>
        <x:v>2025</x:v>
      </x:c>
      <x:c r="U379" s="15" t="n">
        <x:f>ROUNDUP(MONTH(A379)/3,0)</x:f>
        <x:v>3</x:v>
      </x:c>
      <x:c r="V379" s="18" t="n">
        <x:f>I379-J379</x:f>
        <x:v>60403.19000000002</x:v>
      </x:c>
      <x:c r="W379" s="19" t="n">
        <x:f>IF(I379=0,"",V379/I379)</x:f>
        <x:v>0.36346967640571554</x:v>
      </x:c>
      <x:c r="X379" s="18" t="n">
        <x:f>I379-J379-K379-L379-M379</x:f>
        <x:v>32151.750000000015</x:v>
      </x:c>
      <x:c r="Y379" s="19" t="n">
        <x:f>IF(I379=0,"",X379/I379)</x:f>
        <x:v>0.19346968543180362</x:v>
      </x:c>
      <x:c r="Z379" s="18" t="n">
        <x:f>IF(E379=0,"",F379/E379)</x:f>
        <x:v>1165.0777777777778</x:v>
      </x:c>
      <x:c r="AA379" s="18" t="n">
        <x:f>IF(N379=0,"",M379/N379)</x:f>
        <x:v>155.79837500000002</x:v>
      </x:c>
      <x:c r="AB379" s="19" t="n">
        <x:f>IF(E379=0,"",O379/E379)</x:f>
        <x:v>0.16339869281045752</x:v>
      </x:c>
      <x:c r="AC379" s="19" t="n">
        <x:f>IF(E379=0,"",P379/E379)</x:f>
        <x:v>0.032679738562091505</x:v>
      </x:c>
      <x:c r="AD379" s="20" t="n">
        <x:f>IF(Q379=0,"",100*(R379-S379)/Q379)</x:f>
        <x:v>32.6530612244898</x:v>
      </x:c>
      <x:c r="AE379" s="19" t="n">
        <x:f>IF(F379=0,"",G379/F379)</x:f>
        <x:v>0.04222220850917973</x:v>
      </x:c>
      <x:c r="AF379" s="18" t="n">
        <x:f>ROUND(I379-(F379-G379-H379),2)</x:f>
        <x:v>0</x:v>
      </x:c>
    </x:row>
    <x:row r="380" ht="24" customHeight="1">
      <x:c r="A380" s="14" t="n">
        <x:v>45870</x:v>
      </x:c>
      <x:c r="B380" s="2" t="str">
        <x:v>E-commerce</x:v>
      </x:c>
      <x:c r="C380" s="2" t="str">
        <x:v>Sul</x:v>
      </x:c>
      <x:c r="D380" s="2" t="str">
        <x:v>M-0375</x:v>
      </x:c>
      <x:c r="E380" s="16" t="n">
        <x:v>116</x:v>
      </x:c>
      <x:c r="F380" s="17" t="n">
        <x:v>135372.42</x:v>
      </x:c>
      <x:c r="G380" s="17" t="n">
        <x:v>5715.72</x:v>
      </x:c>
      <x:c r="H380" s="17" t="n">
        <x:v>3452</x:v>
      </x:c>
      <x:c r="I380" s="17" t="n">
        <x:v>126204.7</x:v>
      </x:c>
      <x:c r="J380" s="17" t="n">
        <x:v>77171.44</x:v>
      </x:c>
      <x:c r="K380" s="17" t="n">
        <x:v>8960.53</x:v>
      </x:c>
      <x:c r="L380" s="17" t="n">
        <x:v>3028.91</x:v>
      </x:c>
      <x:c r="M380" s="17" t="n">
        <x:v>9465.35</x:v>
      </x:c>
      <x:c r="N380" s="16" t="n">
        <x:v>60</x:v>
      </x:c>
      <x:c r="O380" s="16" t="n">
        <x:v>19</x:v>
      </x:c>
      <x:c r="P380" s="16" t="n">
        <x:v>4</x:v>
      </x:c>
      <x:c r="Q380" s="16" t="n">
        <x:v>37</x:v>
      </x:c>
      <x:c r="R380" s="16" t="n">
        <x:v>20</x:v>
      </x:c>
      <x:c r="S380" s="16" t="n">
        <x:v>8</x:v>
      </x:c>
      <x:c r="T380" s="15" t="n">
        <x:f>YEAR(A380)</x:f>
        <x:v>2025</x:v>
      </x:c>
      <x:c r="U380" s="15" t="n">
        <x:f>ROUNDUP(MONTH(A380)/3,0)</x:f>
        <x:v>3</x:v>
      </x:c>
      <x:c r="V380" s="18" t="n">
        <x:f>I380-J380</x:f>
        <x:v>49033.259999999995</x:v>
      </x:c>
      <x:c r="W380" s="19" t="n">
        <x:f>IF(I380=0,"",V380/I380)</x:f>
        <x:v>0.3885216636147465</x:v>
      </x:c>
      <x:c r="X380" s="18" t="n">
        <x:f>I380-J380-K380-L380-M380</x:f>
        <x:v>27578.469999999994</x:v>
      </x:c>
      <x:c r="Y380" s="19" t="n">
        <x:f>IF(I380=0,"",X380/I380)</x:f>
        <x:v>0.21852173492746305</x:v>
      </x:c>
      <x:c r="Z380" s="18" t="n">
        <x:f>IF(E380=0,"",F380/E380)</x:f>
        <x:v>1167.0036206896552</x:v>
      </x:c>
      <x:c r="AA380" s="18" t="n">
        <x:f>IF(N380=0,"",M380/N380)</x:f>
        <x:v>157.75583333333333</x:v>
      </x:c>
      <x:c r="AB380" s="19" t="n">
        <x:f>IF(E380=0,"",O380/E380)</x:f>
        <x:v>0.16379310344827586</x:v>
      </x:c>
      <x:c r="AC380" s="19" t="n">
        <x:f>IF(E380=0,"",P380/E380)</x:f>
        <x:v>0.034482758620689655</x:v>
      </x:c>
      <x:c r="AD380" s="20" t="n">
        <x:f>IF(Q380=0,"",100*(R380-S380)/Q380)</x:f>
        <x:v>32.432432432432435</x:v>
      </x:c>
      <x:c r="AE380" s="19" t="n">
        <x:f>IF(F380=0,"",G380/F380)</x:f>
        <x:v>0.042222189719294374</x:v>
      </x:c>
      <x:c r="AF380" s="18" t="n">
        <x:f>ROUND(I380-(F380-G380-H380),2)</x:f>
        <x:v>0</x:v>
      </x:c>
    </x:row>
    <x:row r="381" ht="24" customHeight="1">
      <x:c r="A381" s="14" t="n">
        <x:v>45870</x:v>
      </x:c>
      <x:c r="B381" s="2" t="str">
        <x:v>E-commerce</x:v>
      </x:c>
      <x:c r="C381" s="2" t="str">
        <x:v>Centro-Oeste</x:v>
      </x:c>
      <x:c r="D381" s="2" t="str">
        <x:v>M-0376</x:v>
      </x:c>
      <x:c r="E381" s="16" t="n">
        <x:v>87</x:v>
      </x:c>
      <x:c r="F381" s="17" t="n">
        <x:v>100589.83</x:v>
      </x:c>
      <x:c r="G381" s="17" t="n">
        <x:v>4247.13</x:v>
      </x:c>
      <x:c r="H381" s="17" t="n">
        <x:v>2565.04</x:v>
      </x:c>
      <x:c r="I381" s="17" t="n">
        <x:v>93777.66</x:v>
      </x:c>
      <x:c r="J381" s="17" t="n">
        <x:v>59109.1</x:v>
      </x:c>
      <x:c r="K381" s="17" t="n">
        <x:v>6658.21</x:v>
      </x:c>
      <x:c r="L381" s="17" t="n">
        <x:v>2250.66</x:v>
      </x:c>
      <x:c r="M381" s="17" t="n">
        <x:v>7033.32</x:v>
      </x:c>
      <x:c r="N381" s="16" t="n">
        <x:v>45</x:v>
      </x:c>
      <x:c r="O381" s="16" t="n">
        <x:v>14</x:v>
      </x:c>
      <x:c r="P381" s="16" t="n">
        <x:v>3</x:v>
      </x:c>
      <x:c r="Q381" s="16" t="n">
        <x:v>28</x:v>
      </x:c>
      <x:c r="R381" s="16" t="n">
        <x:v>16</x:v>
      </x:c>
      <x:c r="S381" s="16" t="n">
        <x:v>6</x:v>
      </x:c>
      <x:c r="T381" s="15" t="n">
        <x:f>YEAR(A381)</x:f>
        <x:v>2025</x:v>
      </x:c>
      <x:c r="U381" s="15" t="n">
        <x:f>ROUNDUP(MONTH(A381)/3,0)</x:f>
        <x:v>3</x:v>
      </x:c>
      <x:c r="V381" s="18" t="n">
        <x:f>I381-J381</x:f>
        <x:v>34668.560000000005</x:v>
      </x:c>
      <x:c r="W381" s="19" t="n">
        <x:f>IF(I381=0,"",V381/I381)</x:f>
        <x:v>0.3696889003201829</x:v>
      </x:c>
      <x:c r="X381" s="18" t="n">
        <x:f>I381-J381-K381-L381-M381</x:f>
        <x:v>18726.370000000006</x:v>
      </x:c>
      <x:c r="Y381" s="19" t="n">
        <x:f>IF(I381=0,"",X381/I381)</x:f>
        <x:v>0.19968903041513306</x:v>
      </x:c>
      <x:c r="Z381" s="18" t="n">
        <x:f>IF(E381=0,"",F381/E381)</x:f>
        <x:v>1156.2049425287357</x:v>
      </x:c>
      <x:c r="AA381" s="18" t="n">
        <x:f>IF(N381=0,"",M381/N381)</x:f>
        <x:v>156.296</x:v>
      </x:c>
      <x:c r="AB381" s="19" t="n">
        <x:f>IF(E381=0,"",O381/E381)</x:f>
        <x:v>0.16091954022988506</x:v>
      </x:c>
      <x:c r="AC381" s="19" t="n">
        <x:f>IF(E381=0,"",P381/E381)</x:f>
        <x:v>0.034482758620689655</x:v>
      </x:c>
      <x:c r="AD381" s="20" t="n">
        <x:f>IF(Q381=0,"",100*(R381-S381)/Q381)</x:f>
        <x:v>35.714285714285715</x:v>
      </x:c>
      <x:c r="AE381" s="19" t="n">
        <x:f>IF(F381=0,"",G381/F381)</x:f>
        <x:v>0.04222226044123944</x:v>
      </x:c>
      <x:c r="AF381" s="18" t="n">
        <x:f>ROUND(I381-(F381-G381-H381),2)</x:f>
        <x:v>0</x:v>
      </x:c>
    </x:row>
    <x:row r="382" ht="24" customHeight="1">
      <x:c r="A382" s="14" t="n">
        <x:v>45870</x:v>
      </x:c>
      <x:c r="B382" s="2" t="str">
        <x:v>Lojas</x:v>
      </x:c>
      <x:c r="C382" s="2" t="str">
        <x:v>Sudeste</x:v>
      </x:c>
      <x:c r="D382" s="2" t="str">
        <x:v>M-0377</x:v>
      </x:c>
      <x:c r="E382" s="16" t="n">
        <x:v>195</x:v>
      </x:c>
      <x:c r="F382" s="17" t="n">
        <x:v>226490.98</x:v>
      </x:c>
      <x:c r="G382" s="17" t="n">
        <x:v>9562.95</x:v>
      </x:c>
      <x:c r="H382" s="17" t="n">
        <x:v>5775.52</x:v>
      </x:c>
      <x:c r="I382" s="17" t="n">
        <x:v>211152.51</x:v>
      </x:c>
      <x:c r="J382" s="17" t="n">
        <x:v>133123.37</x:v>
      </x:c>
      <x:c r="K382" s="17" t="n">
        <x:v>10557.63</x:v>
      </x:c>
      <x:c r="L382" s="17" t="n">
        <x:v>5067.66</x:v>
      </x:c>
      <x:c r="M382" s="17" t="n">
        <x:v>3800.75</x:v>
      </x:c>
      <x:c r="N382" s="16" t="n">
        <x:v>55</x:v>
      </x:c>
      <x:c r="O382" s="16" t="n">
        <x:v>32</x:v>
      </x:c>
      <x:c r="P382" s="16" t="n">
        <x:v>7</x:v>
      </x:c>
      <x:c r="Q382" s="16" t="n">
        <x:v>62</x:v>
      </x:c>
      <x:c r="R382" s="16" t="n">
        <x:v>34</x:v>
      </x:c>
      <x:c r="S382" s="16" t="n">
        <x:v>14</x:v>
      </x:c>
      <x:c r="T382" s="15" t="n">
        <x:f>YEAR(A382)</x:f>
        <x:v>2025</x:v>
      </x:c>
      <x:c r="U382" s="15" t="n">
        <x:f>ROUNDUP(MONTH(A382)/3,0)</x:f>
        <x:v>3</x:v>
      </x:c>
      <x:c r="V382" s="18" t="n">
        <x:f>I382-J382</x:f>
        <x:v>78029.14000000001</x:v>
      </x:c>
      <x:c r="W382" s="19" t="n">
        <x:f>IF(I382=0,"",V382/I382)</x:f>
        <x:v>0.36953924914271685</x:v>
      </x:c>
      <x:c r="X382" s="18" t="n">
        <x:f>I382-J382-K382-L382-M382</x:f>
        <x:v>58603.100000000006</x:v>
      </x:c>
      <x:c r="Y382" s="19" t="n">
        <x:f>IF(I382=0,"",X382/I382)</x:f>
        <x:v>0.2775392061406232</x:v>
      </x:c>
      <x:c r="Z382" s="18" t="n">
        <x:f>IF(E382=0,"",F382/E382)</x:f>
        <x:v>1161.4922051282051</x:v>
      </x:c>
      <x:c r="AA382" s="18" t="n">
        <x:f>IF(N382=0,"",M382/N382)</x:f>
        <x:v>69.10454545454546</x:v>
      </x:c>
      <x:c r="AB382" s="19" t="n">
        <x:f>IF(E382=0,"",O382/E382)</x:f>
        <x:v>0.1641025641025641</x:v>
      </x:c>
      <x:c r="AC382" s="19" t="n">
        <x:f>IF(E382=0,"",P382/E382)</x:f>
        <x:v>0.035897435897435895</x:v>
      </x:c>
      <x:c r="AD382" s="20" t="n">
        <x:f>IF(Q382=0,"",100*(R382-S382)/Q382)</x:f>
        <x:v>32.25806451612903</x:v>
      </x:c>
      <x:c r="AE382" s="19" t="n">
        <x:f>IF(F382=0,"",G382/F382)</x:f>
        <x:v>0.04222221123331269</x:v>
      </x:c>
      <x:c r="AF382" s="18" t="n">
        <x:f>ROUND(I382-(F382-G382-H382),2)</x:f>
        <x:v>0</x:v>
      </x:c>
    </x:row>
    <x:row r="383" ht="24" customHeight="1">
      <x:c r="A383" s="14" t="n">
        <x:v>45870</x:v>
      </x:c>
      <x:c r="B383" s="2" t="str">
        <x:v>Lojas</x:v>
      </x:c>
      <x:c r="C383" s="2" t="str">
        <x:v>Nordeste</x:v>
      </x:c>
      <x:c r="D383" s="2" t="str">
        <x:v>M-0378</x:v>
      </x:c>
      <x:c r="E383" s="16" t="n">
        <x:v>114</x:v>
      </x:c>
      <x:c r="F383" s="17" t="n">
        <x:v>132299.27</x:v>
      </x:c>
      <x:c r="G383" s="17" t="n">
        <x:v>5585.97</x:v>
      </x:c>
      <x:c r="H383" s="17" t="n">
        <x:v>3373.63</x:v>
      </x:c>
      <x:c r="I383" s="17" t="n">
        <x:v>123339.67</x:v>
      </x:c>
      <x:c r="J383" s="17" t="n">
        <x:v>76410.96</x:v>
      </x:c>
      <x:c r="K383" s="17" t="n">
        <x:v>6166.98</x:v>
      </x:c>
      <x:c r="L383" s="17" t="n">
        <x:v>2960.15</x:v>
      </x:c>
      <x:c r="M383" s="17" t="n">
        <x:v>2220.11</x:v>
      </x:c>
      <x:c r="N383" s="16" t="n">
        <x:v>32</x:v>
      </x:c>
      <x:c r="O383" s="16" t="n">
        <x:v>19</x:v>
      </x:c>
      <x:c r="P383" s="16" t="n">
        <x:v>4</x:v>
      </x:c>
      <x:c r="Q383" s="16" t="n">
        <x:v>36</x:v>
      </x:c>
      <x:c r="R383" s="16" t="n">
        <x:v>20</x:v>
      </x:c>
      <x:c r="S383" s="16" t="n">
        <x:v>8</x:v>
      </x:c>
      <x:c r="T383" s="15" t="n">
        <x:f>YEAR(A383)</x:f>
        <x:v>2025</x:v>
      </x:c>
      <x:c r="U383" s="15" t="n">
        <x:f>ROUNDUP(MONTH(A383)/3,0)</x:f>
        <x:v>3</x:v>
      </x:c>
      <x:c r="V383" s="18" t="n">
        <x:f>I383-J383</x:f>
        <x:v>46928.70999999999</x:v>
      </x:c>
      <x:c r="W383" s="19" t="n">
        <x:f>IF(I383=0,"",V383/I383)</x:f>
        <x:v>0.38048350542854537</x:v>
      </x:c>
      <x:c r="X383" s="18" t="n">
        <x:f>I383-J383-K383-L383-M383</x:f>
        <x:v>35581.469999999994</x:v>
      </x:c>
      <x:c r="Y383" s="19" t="n">
        <x:f>IF(I383=0,"",X383/I383)</x:f>
        <x:v>0.2884835835866919</x:v>
      </x:c>
      <x:c r="Z383" s="18" t="n">
        <x:f>IF(E383=0,"",F383/E383)</x:f>
        <x:v>1160.5199122807016</x:v>
      </x:c>
      <x:c r="AA383" s="18" t="n">
        <x:f>IF(N383=0,"",M383/N383)</x:f>
        <x:v>69.3784375</x:v>
      </x:c>
      <x:c r="AB383" s="19" t="n">
        <x:f>IF(E383=0,"",O383/E383)</x:f>
        <x:v>0.16666666666666666</x:v>
      </x:c>
      <x:c r="AC383" s="19" t="n">
        <x:f>IF(E383=0,"",P383/E383)</x:f>
        <x:v>0.03508771929824561</x:v>
      </x:c>
      <x:c r="AD383" s="20" t="n">
        <x:f>IF(Q383=0,"",100*(R383-S383)/Q383)</x:f>
        <x:v>33.333333333333336</x:v>
      </x:c>
      <x:c r="AE383" s="19" t="n">
        <x:f>IF(F383=0,"",G383/F383)</x:f>
        <x:v>0.04222222843708813</x:v>
      </x:c>
      <x:c r="AF383" s="18" t="n">
        <x:f>ROUND(I383-(F383-G383-H383),2)</x:f>
        <x:v>0</x:v>
      </x:c>
    </x:row>
    <x:row r="384" ht="24" customHeight="1">
      <x:c r="A384" s="14" t="n">
        <x:v>45870</x:v>
      </x:c>
      <x:c r="B384" s="2" t="str">
        <x:v>Lojas</x:v>
      </x:c>
      <x:c r="C384" s="2" t="str">
        <x:v>Sul</x:v>
      </x:c>
      <x:c r="D384" s="2" t="str">
        <x:v>M-0379</x:v>
      </x:c>
      <x:c r="E384" s="16" t="n">
        <x:v>86</x:v>
      </x:c>
      <x:c r="F384" s="17" t="n">
        <x:v>99520.33</x:v>
      </x:c>
      <x:c r="G384" s="17" t="n">
        <x:v>4201.97</x:v>
      </x:c>
      <x:c r="H384" s="17" t="n">
        <x:v>2537.77</x:v>
      </x:c>
      <x:c r="I384" s="17" t="n">
        <x:v>92780.59</x:v>
      </x:c>
      <x:c r="J384" s="17" t="n">
        <x:v>59064.48</x:v>
      </x:c>
      <x:c r="K384" s="17" t="n">
        <x:v>4639.03</x:v>
      </x:c>
      <x:c r="L384" s="17" t="n">
        <x:v>2226.73</x:v>
      </x:c>
      <x:c r="M384" s="17" t="n">
        <x:v>1670.05</x:v>
      </x:c>
      <x:c r="N384" s="16" t="n">
        <x:v>24</x:v>
      </x:c>
      <x:c r="O384" s="16" t="n">
        <x:v>14</x:v>
      </x:c>
      <x:c r="P384" s="16" t="n">
        <x:v>3</x:v>
      </x:c>
      <x:c r="Q384" s="16" t="n">
        <x:v>28</x:v>
      </x:c>
      <x:c r="R384" s="16" t="n">
        <x:v>16</x:v>
      </x:c>
      <x:c r="S384" s="16" t="n">
        <x:v>6</x:v>
      </x:c>
      <x:c r="T384" s="15" t="n">
        <x:f>YEAR(A384)</x:f>
        <x:v>2025</x:v>
      </x:c>
      <x:c r="U384" s="15" t="n">
        <x:f>ROUNDUP(MONTH(A384)/3,0)</x:f>
        <x:v>3</x:v>
      </x:c>
      <x:c r="V384" s="18" t="n">
        <x:f>I384-J384</x:f>
        <x:v>33716.10999999999</x:v>
      </x:c>
      <x:c r="W384" s="19" t="n">
        <x:f>IF(I384=0,"",V384/I384)</x:f>
        <x:v>0.3633961586146412</x:v>
      </x:c>
      <x:c r="X384" s="18" t="n">
        <x:f>I384-J384-K384-L384-M384</x:f>
        <x:v>25180.299999999996</x:v>
      </x:c>
      <x:c r="Y384" s="19" t="n">
        <x:f>IF(I384=0,"",X384/I384)</x:f>
        <x:v>0.2713962047449795</x:v>
      </x:c>
      <x:c r="Z384" s="18" t="n">
        <x:f>IF(E384=0,"",F384/E384)</x:f>
        <x:v>1157.2131395348838</x:v>
      </x:c>
      <x:c r="AA384" s="18" t="n">
        <x:f>IF(N384=0,"",M384/N384)</x:f>
        <x:v>69.58541666666666</x:v>
      </x:c>
      <x:c r="AB384" s="19" t="n">
        <x:f>IF(E384=0,"",O384/E384)</x:f>
        <x:v>0.16279069767441862</x:v>
      </x:c>
      <x:c r="AC384" s="19" t="n">
        <x:f>IF(E384=0,"",P384/E384)</x:f>
        <x:v>0.03488372093023256</x:v>
      </x:c>
      <x:c r="AD384" s="20" t="n">
        <x:f>IF(Q384=0,"",100*(R384-S384)/Q384)</x:f>
        <x:v>35.714285714285715</x:v>
      </x:c>
      <x:c r="AE384" s="19" t="n">
        <x:f>IF(F384=0,"",G384/F384)</x:f>
        <x:v>0.04222222735796797</x:v>
      </x:c>
      <x:c r="AF384" s="18" t="n">
        <x:f>ROUND(I384-(F384-G384-H384),2)</x:f>
        <x:v>0</x:v>
      </x:c>
    </x:row>
    <x:row r="385" ht="24" customHeight="1">
      <x:c r="A385" s="14" t="n">
        <x:v>45870</x:v>
      </x:c>
      <x:c r="B385" s="2" t="str">
        <x:v>Lojas</x:v>
      </x:c>
      <x:c r="C385" s="2" t="str">
        <x:v>Centro-Oeste</x:v>
      </x:c>
      <x:c r="D385" s="2" t="str">
        <x:v>M-0380</x:v>
      </x:c>
      <x:c r="E385" s="16" t="n">
        <x:v>73</x:v>
      </x:c>
      <x:c r="F385" s="17" t="n">
        <x:v>84491.65</x:v>
      </x:c>
      <x:c r="G385" s="17" t="n">
        <x:v>3567.43</x:v>
      </x:c>
      <x:c r="H385" s="17" t="n">
        <x:v>2154.54</x:v>
      </x:c>
      <x:c r="I385" s="17" t="n">
        <x:v>78769.68</x:v>
      </x:c>
      <x:c r="J385" s="17" t="n">
        <x:v>50468.27</x:v>
      </x:c>
      <x:c r="K385" s="17" t="n">
        <x:v>3938.48</x:v>
      </x:c>
      <x:c r="L385" s="17" t="n">
        <x:v>1890.47</x:v>
      </x:c>
      <x:c r="M385" s="17" t="n">
        <x:v>1417.85</x:v>
      </x:c>
      <x:c r="N385" s="16" t="n">
        <x:v>20</x:v>
      </x:c>
      <x:c r="O385" s="16" t="n">
        <x:v>12</x:v>
      </x:c>
      <x:c r="P385" s="16" t="n">
        <x:v>2</x:v>
      </x:c>
      <x:c r="Q385" s="16" t="n">
        <x:v>23</x:v>
      </x:c>
      <x:c r="R385" s="16" t="n">
        <x:v>13</x:v>
      </x:c>
      <x:c r="S385" s="16" t="n">
        <x:v>5</x:v>
      </x:c>
      <x:c r="T385" s="15" t="n">
        <x:f>YEAR(A385)</x:f>
        <x:v>2025</x:v>
      </x:c>
      <x:c r="U385" s="15" t="n">
        <x:f>ROUNDUP(MONTH(A385)/3,0)</x:f>
        <x:v>3</x:v>
      </x:c>
      <x:c r="V385" s="18" t="n">
        <x:f>I385-J385</x:f>
        <x:v>28301.409999999996</x:v>
      </x:c>
      <x:c r="W385" s="19" t="n">
        <x:f>IF(I385=0,"",V385/I385)</x:f>
        <x:v>0.359293195046622</x:v>
      </x:c>
      <x:c r="X385" s="18" t="n">
        <x:f>I385-J385-K385-L385-M385</x:f>
        <x:v>21054.609999999997</x:v>
      </x:c>
      <x:c r="Y385" s="19" t="n">
        <x:f>IF(I385=0,"",X385/I385)</x:f>
        <x:v>0.2672933291083574</x:v>
      </x:c>
      <x:c r="Z385" s="18" t="n">
        <x:f>IF(E385=0,"",F385/E385)</x:f>
        <x:v>1157.4198630136987</x:v>
      </x:c>
      <x:c r="AA385" s="18" t="n">
        <x:f>IF(N385=0,"",M385/N385)</x:f>
        <x:v>70.8925</x:v>
      </x:c>
      <x:c r="AB385" s="19" t="n">
        <x:f>IF(E385=0,"",O385/E385)</x:f>
        <x:v>0.1643835616438356</x:v>
      </x:c>
      <x:c r="AC385" s="19" t="n">
        <x:f>IF(E385=0,"",P385/E385)</x:f>
        <x:v>0.0273972602739726</x:v>
      </x:c>
      <x:c r="AD385" s="20" t="n">
        <x:f>IF(Q385=0,"",100*(R385-S385)/Q385)</x:f>
        <x:v>34.78260869565217</x:v>
      </x:c>
      <x:c r="AE385" s="19" t="n">
        <x:f>IF(F385=0,"",G385/F385)</x:f>
        <x:v>0.042222278769558884</x:v>
      </x:c>
      <x:c r="AF385" s="18" t="n">
        <x:f>ROUND(I385-(F385-G385-H385),2)</x:f>
        <x:v>0</x:v>
      </x:c>
    </x:row>
    <x:row r="386" ht="24" customHeight="1">
      <x:c r="A386" s="14" t="n">
        <x:v>45870</x:v>
      </x:c>
      <x:c r="B386" s="2" t="str">
        <x:v>B2B</x:v>
      </x:c>
      <x:c r="C386" s="2" t="str">
        <x:v>Sudeste</x:v>
      </x:c>
      <x:c r="D386" s="2" t="str">
        <x:v>M-0381</x:v>
      </x:c>
      <x:c r="E386" s="16" t="n">
        <x:v>100</x:v>
      </x:c>
      <x:c r="F386" s="17" t="n">
        <x:v>116279.62</x:v>
      </x:c>
      <x:c r="G386" s="17" t="n">
        <x:v>4909.58</x:v>
      </x:c>
      <x:c r="H386" s="17" t="n">
        <x:v>2965.13</x:v>
      </x:c>
      <x:c r="I386" s="17" t="n">
        <x:v>108404.91</x:v>
      </x:c>
      <x:c r="J386" s="17" t="n">
        <x:v>64794</x:v>
      </x:c>
      <x:c r="K386" s="17" t="n">
        <x:v>5420.25</x:v>
      </x:c>
      <x:c r="L386" s="17" t="n">
        <x:v>2601.72</x:v>
      </x:c>
      <x:c r="M386" s="17" t="n">
        <x:v>1951.29</x:v>
      </x:c>
      <x:c r="N386" s="16" t="n">
        <x:v>28</x:v>
      </x:c>
      <x:c r="O386" s="16" t="n">
        <x:v>16</x:v>
      </x:c>
      <x:c r="P386" s="16" t="n">
        <x:v>3</x:v>
      </x:c>
      <x:c r="Q386" s="16" t="n">
        <x:v>32</x:v>
      </x:c>
      <x:c r="R386" s="16" t="n">
        <x:v>18</x:v>
      </x:c>
      <x:c r="S386" s="16" t="n">
        <x:v>7</x:v>
      </x:c>
      <x:c r="T386" s="15" t="n">
        <x:f>YEAR(A386)</x:f>
        <x:v>2025</x:v>
      </x:c>
      <x:c r="U386" s="15" t="n">
        <x:f>ROUNDUP(MONTH(A386)/3,0)</x:f>
        <x:v>3</x:v>
      </x:c>
      <x:c r="V386" s="18" t="n">
        <x:f>I386-J386</x:f>
        <x:v>43610.91</x:v>
      </x:c>
      <x:c r="W386" s="19" t="n">
        <x:f>IF(I386=0,"",V386/I386)</x:f>
        <x:v>0.4022964457975197</x:v>
      </x:c>
      <x:c r="X386" s="18" t="n">
        <x:f>I386-J386-K386-L386-M386</x:f>
        <x:v>33637.65</x:v>
      </x:c>
      <x:c r="Y386" s="19" t="n">
        <x:f>IF(I386=0,"",X386/I386)</x:f>
        <x:v>0.3102963694172155</x:v>
      </x:c>
      <x:c r="Z386" s="18" t="n">
        <x:f>IF(E386=0,"",F386/E386)</x:f>
        <x:v>1162.7962</x:v>
      </x:c>
      <x:c r="AA386" s="18" t="n">
        <x:f>IF(N386=0,"",M386/N386)</x:f>
        <x:v>69.68892857142858</x:v>
      </x:c>
      <x:c r="AB386" s="19" t="n">
        <x:f>IF(E386=0,"",O386/E386)</x:f>
        <x:v>0.16</x:v>
      </x:c>
      <x:c r="AC386" s="19" t="n">
        <x:f>IF(E386=0,"",P386/E386)</x:f>
        <x:v>0.03</x:v>
      </x:c>
      <x:c r="AD386" s="20" t="n">
        <x:f>IF(Q386=0,"",100*(R386-S386)/Q386)</x:f>
        <x:v>34.375</x:v>
      </x:c>
      <x:c r="AE386" s="19" t="n">
        <x:f>IF(F386=0,"",G386/F386)</x:f>
        <x:v>0.04222218820460542</x:v>
      </x:c>
      <x:c r="AF386" s="18" t="n">
        <x:f>ROUND(I386-(F386-G386-H386),2)</x:f>
        <x:v>0</x:v>
      </x:c>
    </x:row>
    <x:row r="387" ht="24" customHeight="1">
      <x:c r="A387" s="14" t="n">
        <x:v>45870</x:v>
      </x:c>
      <x:c r="B387" s="2" t="str">
        <x:v>B2B</x:v>
      </x:c>
      <x:c r="C387" s="2" t="str">
        <x:v>Nordeste</x:v>
      </x:c>
      <x:c r="D387" s="2" t="str">
        <x:v>M-0382</x:v>
      </x:c>
      <x:c r="E387" s="16" t="n">
        <x:v>70</x:v>
      </x:c>
      <x:c r="F387" s="17" t="n">
        <x:v>81674.43</x:v>
      </x:c>
      <x:c r="G387" s="17" t="n">
        <x:v>3448.48</x:v>
      </x:c>
      <x:c r="H387" s="17" t="n">
        <x:v>2082.7</x:v>
      </x:c>
      <x:c r="I387" s="17" t="n">
        <x:v>76143.25</x:v>
      </x:c>
      <x:c r="J387" s="17" t="n">
        <x:v>48137.03</x:v>
      </x:c>
      <x:c r="K387" s="17" t="n">
        <x:v>3807.16</x:v>
      </x:c>
      <x:c r="L387" s="17" t="n">
        <x:v>1827.44</x:v>
      </x:c>
      <x:c r="M387" s="17" t="n">
        <x:v>1370.58</x:v>
      </x:c>
      <x:c r="N387" s="16" t="n">
        <x:v>20</x:v>
      </x:c>
      <x:c r="O387" s="16" t="n">
        <x:v>11</x:v>
      </x:c>
      <x:c r="P387" s="16" t="n">
        <x:v>2</x:v>
      </x:c>
      <x:c r="Q387" s="16" t="n">
        <x:v>22</x:v>
      </x:c>
      <x:c r="R387" s="16" t="n">
        <x:v>12</x:v>
      </x:c>
      <x:c r="S387" s="16" t="n">
        <x:v>5</x:v>
      </x:c>
      <x:c r="T387" s="15" t="n">
        <x:f>YEAR(A387)</x:f>
        <x:v>2025</x:v>
      </x:c>
      <x:c r="U387" s="15" t="n">
        <x:f>ROUNDUP(MONTH(A387)/3,0)</x:f>
        <x:v>3</x:v>
      </x:c>
      <x:c r="V387" s="18" t="n">
        <x:f>I387-J387</x:f>
        <x:v>28006.22</x:v>
      </x:c>
      <x:c r="W387" s="19" t="n">
        <x:f>IF(I387=0,"",V387/I387)</x:f>
        <x:v>0.3678096219953837</x:v>
      </x:c>
      <x:c r="X387" s="18" t="n">
        <x:f>I387-J387-K387-L387-M387</x:f>
        <x:v>21001.04</x:v>
      </x:c>
      <x:c r="Y387" s="19" t="n">
        <x:f>IF(I387=0,"",X387/I387)</x:f>
        <x:v>0.2758096088622432</x:v>
      </x:c>
      <x:c r="Z387" s="18" t="n">
        <x:f>IF(E387=0,"",F387/E387)</x:f>
        <x:v>1166.7775714285713</x:v>
      </x:c>
      <x:c r="AA387" s="18" t="n">
        <x:f>IF(N387=0,"",M387/N387)</x:f>
        <x:v>68.529</x:v>
      </x:c>
      <x:c r="AB387" s="19" t="n">
        <x:f>IF(E387=0,"",O387/E387)</x:f>
        <x:v>0.15714285714285714</x:v>
      </x:c>
      <x:c r="AC387" s="19" t="n">
        <x:f>IF(E387=0,"",P387/E387)</x:f>
        <x:v>0.02857142857142857</x:v>
      </x:c>
      <x:c r="AD387" s="20" t="n">
        <x:f>IF(Q387=0,"",100*(R387-S387)/Q387)</x:f>
        <x:v>31.818181818181817</x:v>
      </x:c>
      <x:c r="AE387" s="19" t="n">
        <x:f>IF(F387=0,"",G387/F387)</x:f>
        <x:v>0.042222272013407385</x:v>
      </x:c>
      <x:c r="AF387" s="18" t="n">
        <x:f>ROUND(I387-(F387-G387-H387),2)</x:f>
        <x:v>0</x:v>
      </x:c>
    </x:row>
    <x:row r="388" ht="24" customHeight="1">
      <x:c r="A388" s="14" t="n">
        <x:v>45870</x:v>
      </x:c>
      <x:c r="B388" s="2" t="str">
        <x:v>B2B</x:v>
      </x:c>
      <x:c r="C388" s="2" t="str">
        <x:v>Sul</x:v>
      </x:c>
      <x:c r="D388" s="2" t="str">
        <x:v>M-0383</x:v>
      </x:c>
      <x:c r="E388" s="16" t="n">
        <x:v>59</x:v>
      </x:c>
      <x:c r="F388" s="17" t="n">
        <x:v>68442.23</x:v>
      </x:c>
      <x:c r="G388" s="17" t="n">
        <x:v>2889.78</x:v>
      </x:c>
      <x:c r="H388" s="17" t="n">
        <x:v>1745.28</x:v>
      </x:c>
      <x:c r="I388" s="17" t="n">
        <x:v>63807.17</x:v>
      </x:c>
      <x:c r="J388" s="17" t="n">
        <x:v>38569.46</x:v>
      </x:c>
      <x:c r="K388" s="17" t="n">
        <x:v>3190.36</x:v>
      </x:c>
      <x:c r="L388" s="17" t="n">
        <x:v>1531.37</x:v>
      </x:c>
      <x:c r="M388" s="17" t="n">
        <x:v>1148.53</x:v>
      </x:c>
      <x:c r="N388" s="16" t="n">
        <x:v>17</x:v>
      </x:c>
      <x:c r="O388" s="16" t="n">
        <x:v>10</x:v>
      </x:c>
      <x:c r="P388" s="16" t="n">
        <x:v>2</x:v>
      </x:c>
      <x:c r="Q388" s="16" t="n">
        <x:v>19</x:v>
      </x:c>
      <x:c r="R388" s="16" t="n">
        <x:v>11</x:v>
      </x:c>
      <x:c r="S388" s="16" t="n">
        <x:v>4</x:v>
      </x:c>
      <x:c r="T388" s="15" t="n">
        <x:f>YEAR(A388)</x:f>
        <x:v>2025</x:v>
      </x:c>
      <x:c r="U388" s="15" t="n">
        <x:f>ROUNDUP(MONTH(A388)/3,0)</x:f>
        <x:v>3</x:v>
      </x:c>
      <x:c r="V388" s="18" t="n">
        <x:f>I388-J388</x:f>
        <x:v>25237.71</x:v>
      </x:c>
      <x:c r="W388" s="19" t="n">
        <x:f>IF(I388=0,"",V388/I388)</x:f>
        <x:v>0.3955309411152383</x:v>
      </x:c>
      <x:c r="X388" s="18" t="n">
        <x:f>I388-J388-K388-L388-M388</x:f>
        <x:v>19367.45</x:v>
      </x:c>
      <x:c r="Y388" s="19" t="n">
        <x:f>IF(I388=0,"",X388/I388)</x:f>
        <x:v>0.30353093547323917</x:v>
      </x:c>
      <x:c r="Z388" s="18" t="n">
        <x:f>IF(E388=0,"",F388/E388)</x:f>
        <x:v>1160.0377966101694</x:v>
      </x:c>
      <x:c r="AA388" s="18" t="n">
        <x:f>IF(N388=0,"",M388/N388)</x:f>
        <x:v>67.56058823529412</x:v>
      </x:c>
      <x:c r="AB388" s="19" t="n">
        <x:f>IF(E388=0,"",O388/E388)</x:f>
        <x:v>0.1694915254237288</x:v>
      </x:c>
      <x:c r="AC388" s="19" t="n">
        <x:f>IF(E388=0,"",P388/E388)</x:f>
        <x:v>0.03389830508474576</x:v>
      </x:c>
      <x:c r="AD388" s="20" t="n">
        <x:f>IF(Q388=0,"",100*(R388-S388)/Q388)</x:f>
        <x:v>36.8421052631579</x:v>
      </x:c>
      <x:c r="AE388" s="19" t="n">
        <x:f>IF(F388=0,"",G388/F388)</x:f>
        <x:v>0.04222217774026358</x:v>
      </x:c>
      <x:c r="AF388" s="18" t="n">
        <x:f>ROUND(I388-(F388-G388-H388),2)</x:f>
        <x:v>0</x:v>
      </x:c>
    </x:row>
    <x:row r="389" ht="24" customHeight="1">
      <x:c r="A389" s="14" t="n">
        <x:v>45870</x:v>
      </x:c>
      <x:c r="B389" s="2" t="str">
        <x:v>B2B</x:v>
      </x:c>
      <x:c r="C389" s="2" t="str">
        <x:v>Centro-Oeste</x:v>
      </x:c>
      <x:c r="D389" s="2" t="str">
        <x:v>M-0384</x:v>
      </x:c>
      <x:c r="E389" s="16" t="n">
        <x:v>53</x:v>
      </x:c>
      <x:c r="F389" s="17" t="n">
        <x:v>61295.98</x:v>
      </x:c>
      <x:c r="G389" s="17" t="n">
        <x:v>2588.05</x:v>
      </x:c>
      <x:c r="H389" s="17" t="n">
        <x:v>1563.05</x:v>
      </x:c>
      <x:c r="I389" s="17" t="n">
        <x:v>57144.88</x:v>
      </x:c>
      <x:c r="J389" s="17" t="n">
        <x:v>36736.74</x:v>
      </x:c>
      <x:c r="K389" s="17" t="n">
        <x:v>2857.24</x:v>
      </x:c>
      <x:c r="L389" s="17" t="n">
        <x:v>1371.48</x:v>
      </x:c>
      <x:c r="M389" s="17" t="n">
        <x:v>1028.61</x:v>
      </x:c>
      <x:c r="N389" s="16" t="n">
        <x:v>15</x:v>
      </x:c>
      <x:c r="O389" s="16" t="n">
        <x:v>9</x:v>
      </x:c>
      <x:c r="P389" s="16" t="n">
        <x:v>2</x:v>
      </x:c>
      <x:c r="Q389" s="16" t="n">
        <x:v>17</x:v>
      </x:c>
      <x:c r="R389" s="16" t="n">
        <x:v>9</x:v>
      </x:c>
      <x:c r="S389" s="16" t="n">
        <x:v>4</x:v>
      </x:c>
      <x:c r="T389" s="15" t="n">
        <x:f>YEAR(A389)</x:f>
        <x:v>2025</x:v>
      </x:c>
      <x:c r="U389" s="15" t="n">
        <x:f>ROUNDUP(MONTH(A389)/3,0)</x:f>
        <x:v>3</x:v>
      </x:c>
      <x:c r="V389" s="18" t="n">
        <x:f>I389-J389</x:f>
        <x:v>20408.14</x:v>
      </x:c>
      <x:c r="W389" s="19" t="n">
        <x:f>IF(I389=0,"",V389/I389)</x:f>
        <x:v>0.3571298076048108</x:v>
      </x:c>
      <x:c r="X389" s="18" t="n">
        <x:f>I389-J389-K389-L389-M389</x:f>
        <x:v>15150.810000000001</x:v>
      </x:c>
      <x:c r="Y389" s="19" t="n">
        <x:f>IF(I389=0,"",X389/I389)</x:f>
        <x:v>0.26512978940545506</x:v>
      </x:c>
      <x:c r="Z389" s="18" t="n">
        <x:f>IF(E389=0,"",F389/E389)</x:f>
        <x:v>1156.527924528302</x:v>
      </x:c>
      <x:c r="AA389" s="18" t="n">
        <x:f>IF(N389=0,"",M389/N389)</x:f>
        <x:v>68.574</x:v>
      </x:c>
      <x:c r="AB389" s="19" t="n">
        <x:f>IF(E389=0,"",O389/E389)</x:f>
        <x:v>0.16981132075471697</x:v>
      </x:c>
      <x:c r="AC389" s="19" t="n">
        <x:f>IF(E389=0,"",P389/E389)</x:f>
        <x:v>0.03773584905660377</x:v>
      </x:c>
      <x:c r="AD389" s="20" t="n">
        <x:f>IF(Q389=0,"",100*(R389-S389)/Q389)</x:f>
        <x:v>29.41176470588235</x:v>
      </x:c>
      <x:c r="AE389" s="19" t="n">
        <x:f>IF(F389=0,"",G389/F389)</x:f>
        <x:v>0.04222218161778309</x:v>
      </x:c>
      <x:c r="AF389" s="18" t="n">
        <x:f>ROUND(I389-(F389-G389-H389),2)</x:f>
        <x:v>0</x:v>
      </x:c>
    </x:row>
    <x:row r="390" ht="24" customHeight="1">
      <x:c r="A390" s="14" t="n">
        <x:v>45901</x:v>
      </x:c>
      <x:c r="B390" s="2" t="str">
        <x:v>E-commerce</x:v>
      </x:c>
      <x:c r="C390" s="2" t="str">
        <x:v>Sudeste</x:v>
      </x:c>
      <x:c r="D390" s="2" t="str">
        <x:v>M-0385</x:v>
      </x:c>
      <x:c r="E390" s="16" t="n">
        <x:v>191</x:v>
      </x:c>
      <x:c r="F390" s="17" t="n">
        <x:v>221445.09</x:v>
      </x:c>
      <x:c r="G390" s="17" t="n">
        <x:v>9472.93</x:v>
      </x:c>
      <x:c r="H390" s="17" t="n">
        <x:v>5757.57</x:v>
      </x:c>
      <x:c r="I390" s="17" t="n">
        <x:v>206214.59</x:v>
      </x:c>
      <x:c r="J390" s="17" t="n">
        <x:v>124013.83</x:v>
      </x:c>
      <x:c r="K390" s="17" t="n">
        <x:v>14847.45</x:v>
      </x:c>
      <x:c r="L390" s="17" t="n">
        <x:v>4949.15</x:v>
      </x:c>
      <x:c r="M390" s="17" t="n">
        <x:v>15466.09</x:v>
      </x:c>
      <x:c r="N390" s="16" t="n">
        <x:v>99</x:v>
      </x:c>
      <x:c r="O390" s="16" t="n">
        <x:v>51</x:v>
      </x:c>
      <x:c r="P390" s="16" t="n">
        <x:v>6</x:v>
      </x:c>
      <x:c r="Q390" s="16" t="n">
        <x:v>61</x:v>
      </x:c>
      <x:c r="R390" s="16" t="n">
        <x:v>33</x:v>
      </x:c>
      <x:c r="S390" s="16" t="n">
        <x:v>14</x:v>
      </x:c>
      <x:c r="T390" s="15" t="n">
        <x:f>YEAR(A390)</x:f>
        <x:v>2025</x:v>
      </x:c>
      <x:c r="U390" s="15" t="n">
        <x:f>ROUNDUP(MONTH(A390)/3,0)</x:f>
        <x:v>3</x:v>
      </x:c>
      <x:c r="V390" s="18" t="n">
        <x:f>I390-J390</x:f>
        <x:v>82200.76</x:v>
      </x:c>
      <x:c r="W390" s="19" t="n">
        <x:f>IF(I390=0,"",V390/I390)</x:f>
        <x:v>0.398617575992077</x:v>
      </x:c>
      <x:c r="X390" s="18" t="n">
        <x:f>I390-J390-K390-L390-M390</x:f>
        <x:v>46938.06999999999</x:v>
      </x:c>
      <x:c r="Y390" s="19" t="n">
        <x:f>IF(I390=0,"",X390/I390)</x:f>
        <x:v>0.22761759970523907</x:v>
      </x:c>
      <x:c r="Z390" s="18" t="n">
        <x:f>IF(E390=0,"",F390/E390)</x:f>
        <x:v>1159.3983769633508</x:v>
      </x:c>
      <x:c r="AA390" s="18" t="n">
        <x:f>IF(N390=0,"",M390/N390)</x:f>
        <x:v>156.22313131313132</x:v>
      </x:c>
      <x:c r="AB390" s="19" t="n">
        <x:f>IF(E390=0,"",O390/E390)</x:f>
        <x:v>0.2670157068062827</x:v>
      </x:c>
      <x:c r="AC390" s="19" t="n">
        <x:f>IF(E390=0,"",P390/E390)</x:f>
        <x:v>0.031413612565445025</x:v>
      </x:c>
      <x:c r="AD390" s="20" t="n">
        <x:f>IF(Q390=0,"",100*(R390-S390)/Q390)</x:f>
        <x:v>31.147540983606557</x:v>
      </x:c>
      <x:c r="AE390" s="19" t="n">
        <x:f>IF(F390=0,"",G390/F390)</x:f>
        <x:v>0.04277778297093876</x:v>
      </x:c>
      <x:c r="AF390" s="18" t="n">
        <x:f>ROUND(I390-(F390-G390-H390),2)</x:f>
        <x:v>0</x:v>
      </x:c>
    </x:row>
    <x:row r="391" ht="24" customHeight="1">
      <x:c r="A391" s="14" t="n">
        <x:v>45901</x:v>
      </x:c>
      <x:c r="B391" s="2" t="str">
        <x:v>E-commerce</x:v>
      </x:c>
      <x:c r="C391" s="2" t="str">
        <x:v>Nordeste</x:v>
      </x:c>
      <x:c r="D391" s="2" t="str">
        <x:v>M-0386</x:v>
      </x:c>
      <x:c r="E391" s="16" t="n">
        <x:v>134</x:v>
      </x:c>
      <x:c r="F391" s="17" t="n">
        <x:v>156236.27</x:v>
      </x:c>
      <x:c r="G391" s="17" t="n">
        <x:v>6683.44</x:v>
      </x:c>
      <x:c r="H391" s="17" t="n">
        <x:v>4062.14</x:v>
      </x:c>
      <x:c r="I391" s="17" t="n">
        <x:v>145490.69</x:v>
      </x:c>
      <x:c r="J391" s="17" t="n">
        <x:v>92897.71</x:v>
      </x:c>
      <x:c r="K391" s="17" t="n">
        <x:v>10475.33</x:v>
      </x:c>
      <x:c r="L391" s="17" t="n">
        <x:v>3491.78</x:v>
      </x:c>
      <x:c r="M391" s="17" t="n">
        <x:v>10911.8</x:v>
      </x:c>
      <x:c r="N391" s="16" t="n">
        <x:v>70</x:v>
      </x:c>
      <x:c r="O391" s="16" t="n">
        <x:v>23</x:v>
      </x:c>
      <x:c r="P391" s="16" t="n">
        <x:v>5</x:v>
      </x:c>
      <x:c r="Q391" s="16" t="n">
        <x:v>43</x:v>
      </x:c>
      <x:c r="R391" s="16" t="n">
        <x:v>24</x:v>
      </x:c>
      <x:c r="S391" s="16" t="n">
        <x:v>10</x:v>
      </x:c>
      <x:c r="T391" s="15" t="n">
        <x:f>YEAR(A391)</x:f>
        <x:v>2025</x:v>
      </x:c>
      <x:c r="U391" s="15" t="n">
        <x:f>ROUNDUP(MONTH(A391)/3,0)</x:f>
        <x:v>3</x:v>
      </x:c>
      <x:c r="V391" s="18" t="n">
        <x:f>I391-J391</x:f>
        <x:v>52592.979999999996</x:v>
      </x:c>
      <x:c r="W391" s="19" t="n">
        <x:f>IF(I391=0,"",V391/I391)</x:f>
        <x:v>0.361486910262093</x:v>
      </x:c>
      <x:c r="X391" s="18" t="n">
        <x:f>I391-J391-K391-L391-M391</x:f>
        <x:v>27714.069999999996</x:v>
      </x:c>
      <x:c r="Y391" s="19" t="n">
        <x:f>IF(I391=0,"",X391/I391)</x:f>
        <x:v>0.19048689644677605</x:v>
      </x:c>
      <x:c r="Z391" s="18" t="n">
        <x:f>IF(E391=0,"",F391/E391)</x:f>
        <x:v>1165.9423134328358</x:v>
      </x:c>
      <x:c r="AA391" s="18" t="n">
        <x:f>IF(N391=0,"",M391/N391)</x:f>
        <x:v>155.88285714285712</x:v>
      </x:c>
      <x:c r="AB391" s="19" t="n">
        <x:f>IF(E391=0,"",O391/E391)</x:f>
        <x:v>0.17164179104477612</x:v>
      </x:c>
      <x:c r="AC391" s="19" t="n">
        <x:f>IF(E391=0,"",P391/E391)</x:f>
        <x:v>0.03731343283582089</x:v>
      </x:c>
      <x:c r="AD391" s="20" t="n">
        <x:f>IF(Q391=0,"",100*(R391-S391)/Q391)</x:f>
        <x:v>32.55813953488372</x:v>
      </x:c>
      <x:c r="AE391" s="19" t="n">
        <x:f>IF(F391=0,"",G391/F391)</x:f>
        <x:v>0.042777774968642046</x:v>
      </x:c>
      <x:c r="AF391" s="18" t="n">
        <x:f>ROUND(I391-(F391-G391-H391),2)</x:f>
        <x:v>0</x:v>
      </x:c>
    </x:row>
    <x:row r="392" ht="24" customHeight="1">
      <x:c r="A392" s="14" t="n">
        <x:v>45901</x:v>
      </x:c>
      <x:c r="B392" s="2" t="str">
        <x:v>E-commerce</x:v>
      </x:c>
      <x:c r="C392" s="2" t="str">
        <x:v>Sul</x:v>
      </x:c>
      <x:c r="D392" s="2" t="str">
        <x:v>M-0387</x:v>
      </x:c>
      <x:c r="E392" s="16" t="n">
        <x:v>101</x:v>
      </x:c>
      <x:c r="F392" s="17" t="n">
        <x:v>116898.76</x:v>
      </x:c>
      <x:c r="G392" s="17" t="n">
        <x:v>5000.67</x:v>
      </x:c>
      <x:c r="H392" s="17" t="n">
        <x:v>3039.37</x:v>
      </x:c>
      <x:c r="I392" s="17" t="n">
        <x:v>108858.72</x:v>
      </x:c>
      <x:c r="J392" s="17" t="n">
        <x:v>69964.55</x:v>
      </x:c>
      <x:c r="K392" s="17" t="n">
        <x:v>7837.83</x:v>
      </x:c>
      <x:c r="L392" s="17" t="n">
        <x:v>2612.61</x:v>
      </x:c>
      <x:c r="M392" s="17" t="n">
        <x:v>8164.4</x:v>
      </x:c>
      <x:c r="N392" s="16" t="n">
        <x:v>53</x:v>
      </x:c>
      <x:c r="O392" s="16" t="n">
        <x:v>17</x:v>
      </x:c>
      <x:c r="P392" s="16" t="n">
        <x:v>3</x:v>
      </x:c>
      <x:c r="Q392" s="16" t="n">
        <x:v>32</x:v>
      </x:c>
      <x:c r="R392" s="16" t="n">
        <x:v>18</x:v>
      </x:c>
      <x:c r="S392" s="16" t="n">
        <x:v>7</x:v>
      </x:c>
      <x:c r="T392" s="15" t="n">
        <x:f>YEAR(A392)</x:f>
        <x:v>2025</x:v>
      </x:c>
      <x:c r="U392" s="15" t="n">
        <x:f>ROUNDUP(MONTH(A392)/3,0)</x:f>
        <x:v>3</x:v>
      </x:c>
      <x:c r="V392" s="18" t="n">
        <x:f>I392-J392</x:f>
        <x:v>38894.17</x:v>
      </x:c>
      <x:c r="W392" s="19" t="n">
        <x:f>IF(I392=0,"",V392/I392)</x:f>
        <x:v>0.35729034844429547</x:v>
      </x:c>
      <x:c r="X392" s="18" t="n">
        <x:f>I392-J392-K392-L392-M392</x:f>
        <x:v>20279.329999999994</x:v>
      </x:c>
      <x:c r="Y392" s="19" t="n">
        <x:f>IF(I392=0,"",X392/I392)</x:f>
        <x:v>0.1862903587328603</x:v>
      </x:c>
      <x:c r="Z392" s="18" t="n">
        <x:f>IF(E392=0,"",F392/E392)</x:f>
        <x:v>1157.4134653465346</x:v>
      </x:c>
      <x:c r="AA392" s="18" t="n">
        <x:f>IF(N392=0,"",M392/N392)</x:f>
        <x:v>154.0452830188679</x:v>
      </x:c>
      <x:c r="AB392" s="19" t="n">
        <x:f>IF(E392=0,"",O392/E392)</x:f>
        <x:v>0.16831683168316833</x:v>
      </x:c>
      <x:c r="AC392" s="19" t="n">
        <x:f>IF(E392=0,"",P392/E392)</x:f>
        <x:v>0.0297029702970297</x:v>
      </x:c>
      <x:c r="AD392" s="20" t="n">
        <x:f>IF(Q392=0,"",100*(R392-S392)/Q392)</x:f>
        <x:v>34.375</x:v>
      </x:c>
      <x:c r="AE392" s="19" t="n">
        <x:f>IF(F392=0,"",G392/F392)</x:f>
        <x:v>0.04277778481140433</x:v>
      </x:c>
      <x:c r="AF392" s="18" t="n">
        <x:f>ROUND(I392-(F392-G392-H392),2)</x:f>
        <x:v>0</x:v>
      </x:c>
    </x:row>
    <x:row r="393" ht="24" customHeight="1">
      <x:c r="A393" s="14" t="n">
        <x:v>45901</x:v>
      </x:c>
      <x:c r="B393" s="2" t="str">
        <x:v>E-commerce</x:v>
      </x:c>
      <x:c r="C393" s="2" t="str">
        <x:v>Centro-Oeste</x:v>
      </x:c>
      <x:c r="D393" s="2" t="str">
        <x:v>M-0388</x:v>
      </x:c>
      <x:c r="E393" s="16" t="n">
        <x:v>102</x:v>
      </x:c>
      <x:c r="F393" s="17" t="n">
        <x:v>118987.96</x:v>
      </x:c>
      <x:c r="G393" s="17" t="n">
        <x:v>5090.04</x:v>
      </x:c>
      <x:c r="H393" s="17" t="n">
        <x:v>3093.69</x:v>
      </x:c>
      <x:c r="I393" s="17" t="n">
        <x:v>110804.23</x:v>
      </x:c>
      <x:c r="J393" s="17" t="n">
        <x:v>69865.89</x:v>
      </x:c>
      <x:c r="K393" s="17" t="n">
        <x:v>7977.9</x:v>
      </x:c>
      <x:c r="L393" s="17" t="n">
        <x:v>2659.3</x:v>
      </x:c>
      <x:c r="M393" s="17" t="n">
        <x:v>8310.32</x:v>
      </x:c>
      <x:c r="N393" s="16" t="n">
        <x:v>53</x:v>
      </x:c>
      <x:c r="O393" s="16" t="n">
        <x:v>17</x:v>
      </x:c>
      <x:c r="P393" s="16" t="n">
        <x:v>3</x:v>
      </x:c>
      <x:c r="Q393" s="16" t="n">
        <x:v>33</x:v>
      </x:c>
      <x:c r="R393" s="16" t="n">
        <x:v>18</x:v>
      </x:c>
      <x:c r="S393" s="16" t="n">
        <x:v>8</x:v>
      </x:c>
      <x:c r="T393" s="15" t="n">
        <x:f>YEAR(A393)</x:f>
        <x:v>2025</x:v>
      </x:c>
      <x:c r="U393" s="15" t="n">
        <x:f>ROUNDUP(MONTH(A393)/3,0)</x:f>
        <x:v>3</x:v>
      </x:c>
      <x:c r="V393" s="18" t="n">
        <x:f>I393-J393</x:f>
        <x:v>40938.34</x:v>
      </x:c>
      <x:c r="W393" s="19" t="n">
        <x:f>IF(I393=0,"",V393/I393)</x:f>
        <x:v>0.36946549784245597</x:v>
      </x:c>
      <x:c r="X393" s="18" t="n">
        <x:f>I393-J393-K393-L393-M393</x:f>
        <x:v>21990.819999999996</x:v>
      </x:c>
      <x:c r="Y393" s="19" t="n">
        <x:f>IF(I393=0,"",X393/I393)</x:f>
        <x:v>0.1984655278954603</x:v>
      </x:c>
      <x:c r="Z393" s="18" t="n">
        <x:f>IF(E393=0,"",F393/E393)</x:f>
        <x:v>1166.5486274509803</x:v>
      </x:c>
      <x:c r="AA393" s="18" t="n">
        <x:f>IF(N393=0,"",M393/N393)</x:f>
        <x:v>156.79849056603774</x:v>
      </x:c>
      <x:c r="AB393" s="19" t="n">
        <x:f>IF(E393=0,"",O393/E393)</x:f>
        <x:v>0.16666666666666666</x:v>
      </x:c>
      <x:c r="AC393" s="19" t="n">
        <x:f>IF(E393=0,"",P393/E393)</x:f>
        <x:v>0.029411764705882353</x:v>
      </x:c>
      <x:c r="AD393" s="20" t="n">
        <x:f>IF(Q393=0,"",100*(R393-S393)/Q393)</x:f>
        <x:v>30.303030303030305</x:v>
      </x:c>
      <x:c r="AE393" s="19" t="n">
        <x:f>IF(F393=0,"",G393/F393)</x:f>
        <x:v>0.04277777348229182</x:v>
      </x:c>
      <x:c r="AF393" s="18" t="n">
        <x:f>ROUND(I393-(F393-G393-H393),2)</x:f>
        <x:v>0</x:v>
      </x:c>
    </x:row>
    <x:row r="394" ht="24" customHeight="1">
      <x:c r="A394" s="14" t="n">
        <x:v>45901</x:v>
      </x:c>
      <x:c r="B394" s="2" t="str">
        <x:v>Lojas</x:v>
      </x:c>
      <x:c r="C394" s="2" t="str">
        <x:v>Sudeste</x:v>
      </x:c>
      <x:c r="D394" s="2" t="str">
        <x:v>M-0389</x:v>
      </x:c>
      <x:c r="E394" s="16" t="n">
        <x:v>198</x:v>
      </x:c>
      <x:c r="F394" s="17" t="n">
        <x:v>229943.24</x:v>
      </x:c>
      <x:c r="G394" s="17" t="n">
        <x:v>9836.46</x:v>
      </x:c>
      <x:c r="H394" s="17" t="n">
        <x:v>5978.52</x:v>
      </x:c>
      <x:c r="I394" s="17" t="n">
        <x:v>214128.26</x:v>
      </x:c>
      <x:c r="J394" s="17" t="n">
        <x:v>136761.2</x:v>
      </x:c>
      <x:c r="K394" s="17" t="n">
        <x:v>10920.54</x:v>
      </x:c>
      <x:c r="L394" s="17" t="n">
        <x:v>5139.08</x:v>
      </x:c>
      <x:c r="M394" s="17" t="n">
        <x:v>3854.31</x:v>
      </x:c>
      <x:c r="N394" s="16" t="n">
        <x:v>55</x:v>
      </x:c>
      <x:c r="O394" s="16" t="n">
        <x:v>33</x:v>
      </x:c>
      <x:c r="P394" s="16" t="n">
        <x:v>7</x:v>
      </x:c>
      <x:c r="Q394" s="16" t="n">
        <x:v>63</x:v>
      </x:c>
      <x:c r="R394" s="16" t="n">
        <x:v>35</x:v>
      </x:c>
      <x:c r="S394" s="16" t="n">
        <x:v>14</x:v>
      </x:c>
      <x:c r="T394" s="15" t="n">
        <x:f>YEAR(A394)</x:f>
        <x:v>2025</x:v>
      </x:c>
      <x:c r="U394" s="15" t="n">
        <x:f>ROUNDUP(MONTH(A394)/3,0)</x:f>
        <x:v>3</x:v>
      </x:c>
      <x:c r="V394" s="18" t="n">
        <x:f>I394-J394</x:f>
        <x:v>77367.06</x:v>
      </x:c>
      <x:c r="W394" s="19" t="n">
        <x:f>IF(I394=0,"",V394/I394)</x:f>
        <x:v>0.361311767068952</x:v>
      </x:c>
      <x:c r="X394" s="18" t="n">
        <x:f>I394-J394-K394-L394-M394</x:f>
        <x:v>57453.12999999999</x:v>
      </x:c>
      <x:c r="Y394" s="19" t="n">
        <x:f>IF(I394=0,"",X394/I394)</x:f>
        <x:v>0.2683117585693733</x:v>
      </x:c>
      <x:c r="Z394" s="18" t="n">
        <x:f>IF(E394=0,"",F394/E394)</x:f>
        <x:v>1161.3294949494948</x:v>
      </x:c>
      <x:c r="AA394" s="18" t="n">
        <x:f>IF(N394=0,"",M394/N394)</x:f>
        <x:v>70.07836363636363</x:v>
      </x:c>
      <x:c r="AB394" s="19" t="n">
        <x:f>IF(E394=0,"",O394/E394)</x:f>
        <x:v>0.16666666666666666</x:v>
      </x:c>
      <x:c r="AC394" s="19" t="n">
        <x:f>IF(E394=0,"",P394/E394)</x:f>
        <x:v>0.03535353535353535</x:v>
      </x:c>
      <x:c r="AD394" s="20" t="n">
        <x:f>IF(Q394=0,"",100*(R394-S394)/Q394)</x:f>
        <x:v>33.333333333333336</x:v>
      </x:c>
      <x:c r="AE394" s="19" t="n">
        <x:f>IF(F394=0,"",G394/F394)</x:f>
        <x:v>0.04277777420201611</x:v>
      </x:c>
      <x:c r="AF394" s="18" t="n">
        <x:f>ROUND(I394-(F394-G394-H394),2)</x:f>
        <x:v>0</x:v>
      </x:c>
    </x:row>
    <x:row r="395" ht="24" customHeight="1">
      <x:c r="A395" s="14" t="n">
        <x:v>45901</x:v>
      </x:c>
      <x:c r="B395" s="2" t="str">
        <x:v>Lojas</x:v>
      </x:c>
      <x:c r="C395" s="2" t="str">
        <x:v>Nordeste</x:v>
      </x:c>
      <x:c r="D395" s="2" t="str">
        <x:v>M-0390</x:v>
      </x:c>
      <x:c r="E395" s="16" t="n">
        <x:v>119</x:v>
      </x:c>
      <x:c r="F395" s="17" t="n">
        <x:v>138582.29</x:v>
      </x:c>
      <x:c r="G395" s="17" t="n">
        <x:v>5928.24</x:v>
      </x:c>
      <x:c r="H395" s="17" t="n">
        <x:v>3603.14</x:v>
      </x:c>
      <x:c r="I395" s="17" t="n">
        <x:v>129050.91</x:v>
      </x:c>
      <x:c r="J395" s="17" t="n">
        <x:v>81266.9</x:v>
      </x:c>
      <x:c r="K395" s="17" t="n">
        <x:v>6581.6</x:v>
      </x:c>
      <x:c r="L395" s="17" t="n">
        <x:v>3097.22</x:v>
      </x:c>
      <x:c r="M395" s="17" t="n">
        <x:v>2322.92</x:v>
      </x:c>
      <x:c r="N395" s="16" t="n">
        <x:v>33</x:v>
      </x:c>
      <x:c r="O395" s="16" t="n">
        <x:v>20</x:v>
      </x:c>
      <x:c r="P395" s="16" t="n">
        <x:v>4</x:v>
      </x:c>
      <x:c r="Q395" s="16" t="n">
        <x:v>38</x:v>
      </x:c>
      <x:c r="R395" s="16" t="n">
        <x:v>21</x:v>
      </x:c>
      <x:c r="S395" s="16" t="n">
        <x:v>9</x:v>
      </x:c>
      <x:c r="T395" s="15" t="n">
        <x:f>YEAR(A395)</x:f>
        <x:v>2025</x:v>
      </x:c>
      <x:c r="U395" s="15" t="n">
        <x:f>ROUNDUP(MONTH(A395)/3,0)</x:f>
        <x:v>3</x:v>
      </x:c>
      <x:c r="V395" s="18" t="n">
        <x:f>I395-J395</x:f>
        <x:v>47784.01000000001</x:v>
      </x:c>
      <x:c r="W395" s="19" t="n">
        <x:f>IF(I395=0,"",V395/I395)</x:f>
        <x:v>0.3702725536766847</x:v>
      </x:c>
      <x:c r="X395" s="18" t="n">
        <x:f>I395-J395-K395-L395-M395</x:f>
        <x:v>35782.27000000001</x:v>
      </x:c>
      <x:c r="Y395" s="19" t="n">
        <x:f>IF(I395=0,"",X395/I395)</x:f>
        <x:v>0.27727251206519976</x:v>
      </x:c>
      <x:c r="Z395" s="18" t="n">
        <x:f>IF(E395=0,"",F395/E395)</x:f>
        <x:v>1164.5570588235296</x:v>
      </x:c>
      <x:c r="AA395" s="18" t="n">
        <x:f>IF(N395=0,"",M395/N395)</x:f>
        <x:v>70.39151515151515</x:v>
      </x:c>
      <x:c r="AB395" s="19" t="n">
        <x:f>IF(E395=0,"",O395/E395)</x:f>
        <x:v>0.16806722689075632</x:v>
      </x:c>
      <x:c r="AC395" s="19" t="n">
        <x:f>IF(E395=0,"",P395/E395)</x:f>
        <x:v>0.03361344537815126</x:v>
      </x:c>
      <x:c r="AD395" s="20" t="n">
        <x:f>IF(Q395=0,"",100*(R395-S395)/Q395)</x:f>
        <x:v>31.57894736842105</x:v>
      </x:c>
      <x:c r="AE395" s="19" t="n">
        <x:f>IF(F395=0,"",G395/F395)</x:f>
        <x:v>0.04277776041945908</x:v>
      </x:c>
      <x:c r="AF395" s="18" t="n">
        <x:f>ROUND(I395-(F395-G395-H395),2)</x:f>
        <x:v>0</x:v>
      </x:c>
    </x:row>
    <x:row r="396" ht="24" customHeight="1">
      <x:c r="A396" s="14" t="n">
        <x:v>45901</x:v>
      </x:c>
      <x:c r="B396" s="2" t="str">
        <x:v>Lojas</x:v>
      </x:c>
      <x:c r="C396" s="2" t="str">
        <x:v>Sul</x:v>
      </x:c>
      <x:c r="D396" s="2" t="str">
        <x:v>M-0391</x:v>
      </x:c>
      <x:c r="E396" s="16" t="n">
        <x:v>106</x:v>
      </x:c>
      <x:c r="F396" s="17" t="n">
        <x:v>123628.5</x:v>
      </x:c>
      <x:c r="G396" s="17" t="n">
        <x:v>5288.55</x:v>
      </x:c>
      <x:c r="H396" s="17" t="n">
        <x:v>3214.34</x:v>
      </x:c>
      <x:c r="I396" s="17" t="n">
        <x:v>115125.61</x:v>
      </x:c>
      <x:c r="J396" s="17" t="n">
        <x:v>73291.5</x:v>
      </x:c>
      <x:c r="K396" s="17" t="n">
        <x:v>5871.41</x:v>
      </x:c>
      <x:c r="L396" s="17" t="n">
        <x:v>2763.01</x:v>
      </x:c>
      <x:c r="M396" s="17" t="n">
        <x:v>2072.26</x:v>
      </x:c>
      <x:c r="N396" s="16" t="n">
        <x:v>30</x:v>
      </x:c>
      <x:c r="O396" s="16" t="n">
        <x:v>18</x:v>
      </x:c>
      <x:c r="P396" s="16" t="n">
        <x:v>4</x:v>
      </x:c>
      <x:c r="Q396" s="16" t="n">
        <x:v>34</x:v>
      </x:c>
      <x:c r="R396" s="16" t="n">
        <x:v>19</x:v>
      </x:c>
      <x:c r="S396" s="16" t="n">
        <x:v>8</x:v>
      </x:c>
      <x:c r="T396" s="15" t="n">
        <x:f>YEAR(A396)</x:f>
        <x:v>2025</x:v>
      </x:c>
      <x:c r="U396" s="15" t="n">
        <x:f>ROUNDUP(MONTH(A396)/3,0)</x:f>
        <x:v>3</x:v>
      </x:c>
      <x:c r="V396" s="18" t="n">
        <x:f>I396-J396</x:f>
        <x:v>41834.11</x:v>
      </x:c>
      <x:c r="W396" s="19" t="n">
        <x:f>IF(I396=0,"",V396/I396)</x:f>
        <x:v>0.36337796603205835</x:v>
      </x:c>
      <x:c r="X396" s="18" t="n">
        <x:f>I396-J396-K396-L396-M396</x:f>
        <x:v>31127.429999999993</x:v>
      </x:c>
      <x:c r="Y396" s="19" t="n">
        <x:f>IF(I396=0,"",X396/I396)</x:f>
        <x:v>0.2703779810591231</x:v>
      </x:c>
      <x:c r="Z396" s="18" t="n">
        <x:f>IF(E396=0,"",F396/E396)</x:f>
        <x:v>1166.3066037735848</x:v>
      </x:c>
      <x:c r="AA396" s="18" t="n">
        <x:f>IF(N396=0,"",M396/N396)</x:f>
        <x:v>69.07533333333335</x:v>
      </x:c>
      <x:c r="AB396" s="19" t="n">
        <x:f>IF(E396=0,"",O396/E396)</x:f>
        <x:v>0.16981132075471697</x:v>
      </x:c>
      <x:c r="AC396" s="19" t="n">
        <x:f>IF(E396=0,"",P396/E396)</x:f>
        <x:v>0.03773584905660377</x:v>
      </x:c>
      <x:c r="AD396" s="20" t="n">
        <x:f>IF(Q396=0,"",100*(R396-S396)/Q396)</x:f>
        <x:v>32.35294117647059</x:v>
      </x:c>
      <x:c r="AE396" s="19" t="n">
        <x:f>IF(F396=0,"",G396/F396)</x:f>
        <x:v>0.04277775755590337</x:v>
      </x:c>
      <x:c r="AF396" s="18" t="n">
        <x:f>ROUND(I396-(F396-G396-H396),2)</x:f>
        <x:v>0</x:v>
      </x:c>
    </x:row>
    <x:row r="397" ht="24" customHeight="1">
      <x:c r="A397" s="14" t="n">
        <x:v>45901</x:v>
      </x:c>
      <x:c r="B397" s="2" t="str">
        <x:v>Lojas</x:v>
      </x:c>
      <x:c r="C397" s="2" t="str">
        <x:v>Centro-Oeste</x:v>
      </x:c>
      <x:c r="D397" s="2" t="str">
        <x:v>M-0392</x:v>
      </x:c>
      <x:c r="E397" s="16" t="n">
        <x:v>69</x:v>
      </x:c>
      <x:c r="F397" s="17" t="n">
        <x:v>80336.74</x:v>
      </x:c>
      <x:c r="G397" s="17" t="n">
        <x:v>3436.63</x:v>
      </x:c>
      <x:c r="H397" s="17" t="n">
        <x:v>2088.76</x:v>
      </x:c>
      <x:c r="I397" s="17" t="n">
        <x:v>74811.35</x:v>
      </x:c>
      <x:c r="J397" s="17" t="n">
        <x:v>45078.77</x:v>
      </x:c>
      <x:c r="K397" s="17" t="n">
        <x:v>3815.38</x:v>
      </x:c>
      <x:c r="L397" s="17" t="n">
        <x:v>1795.47</x:v>
      </x:c>
      <x:c r="M397" s="17" t="n">
        <x:v>1346.6</x:v>
      </x:c>
      <x:c r="N397" s="16" t="n">
        <x:v>19</x:v>
      </x:c>
      <x:c r="O397" s="16" t="n">
        <x:v>12</x:v>
      </x:c>
      <x:c r="P397" s="16" t="n">
        <x:v>2</x:v>
      </x:c>
      <x:c r="Q397" s="16" t="n">
        <x:v>22</x:v>
      </x:c>
      <x:c r="R397" s="16" t="n">
        <x:v>12</x:v>
      </x:c>
      <x:c r="S397" s="16" t="n">
        <x:v>5</x:v>
      </x:c>
      <x:c r="T397" s="15" t="n">
        <x:f>YEAR(A397)</x:f>
        <x:v>2025</x:v>
      </x:c>
      <x:c r="U397" s="15" t="n">
        <x:f>ROUNDUP(MONTH(A397)/3,0)</x:f>
        <x:v>3</x:v>
      </x:c>
      <x:c r="V397" s="18" t="n">
        <x:f>I397-J397</x:f>
        <x:v>29732.58000000001</x:v>
      </x:c>
      <x:c r="W397" s="19" t="n">
        <x:f>IF(I397=0,"",V397/I397)</x:f>
        <x:v>0.39743407918718227</x:v>
      </x:c>
      <x:c r="X397" s="18" t="n">
        <x:f>I397-J397-K397-L397-M397</x:f>
        <x:v>22775.13000000001</x:v>
      </x:c>
      <x:c r="Y397" s="19" t="n">
        <x:f>IF(I397=0,"",X397/I397)</x:f>
        <x:v>0.30443415337378626</x:v>
      </x:c>
      <x:c r="Z397" s="18" t="n">
        <x:f>IF(E397=0,"",F397/E397)</x:f>
        <x:v>1164.300579710145</x:v>
      </x:c>
      <x:c r="AA397" s="18" t="n">
        <x:f>IF(N397=0,"",M397/N397)</x:f>
        <x:v>70.8736842105263</x:v>
      </x:c>
      <x:c r="AB397" s="19" t="n">
        <x:f>IF(E397=0,"",O397/E397)</x:f>
        <x:v>0.17391304347826086</x:v>
      </x:c>
      <x:c r="AC397" s="19" t="n">
        <x:f>IF(E397=0,"",P397/E397)</x:f>
        <x:v>0.028985507246376812</x:v>
      </x:c>
      <x:c r="AD397" s="20" t="n">
        <x:f>IF(Q397=0,"",100*(R397-S397)/Q397)</x:f>
        <x:v>31.818181818181817</x:v>
      </x:c>
      <x:c r="AE397" s="19" t="n">
        <x:f>IF(F397=0,"",G397/F397)</x:f>
        <x:v>0.04277781249276483</x:v>
      </x:c>
      <x:c r="AF397" s="18" t="n">
        <x:f>ROUND(I397-(F397-G397-H397),2)</x:f>
        <x:v>0</x:v>
      </x:c>
    </x:row>
    <x:row r="398" ht="24" customHeight="1">
      <x:c r="A398" s="14" t="n">
        <x:v>45901</x:v>
      </x:c>
      <x:c r="B398" s="2" t="str">
        <x:v>B2B</x:v>
      </x:c>
      <x:c r="C398" s="2" t="str">
        <x:v>Sudeste</x:v>
      </x:c>
      <x:c r="D398" s="2" t="str">
        <x:v>M-0393</x:v>
      </x:c>
      <x:c r="E398" s="16" t="n">
        <x:v>111</x:v>
      </x:c>
      <x:c r="F398" s="17" t="n">
        <x:v>129047.07</x:v>
      </x:c>
      <x:c r="G398" s="17" t="n">
        <x:v>5520.35</x:v>
      </x:c>
      <x:c r="H398" s="17" t="n">
        <x:v>3355.22</x:v>
      </x:c>
      <x:c r="I398" s="17" t="n">
        <x:v>120171.5</x:v>
      </x:c>
      <x:c r="J398" s="17" t="n">
        <x:v>77675.41</x:v>
      </x:c>
      <x:c r="K398" s="17" t="n">
        <x:v>6128.75</x:v>
      </x:c>
      <x:c r="L398" s="17" t="n">
        <x:v>2884.12</x:v>
      </x:c>
      <x:c r="M398" s="17" t="n">
        <x:v>2163.09</x:v>
      </x:c>
      <x:c r="N398" s="16" t="n">
        <x:v>31</x:v>
      </x:c>
      <x:c r="O398" s="16" t="n">
        <x:v>19</x:v>
      </x:c>
      <x:c r="P398" s="16" t="n">
        <x:v>4</x:v>
      </x:c>
      <x:c r="Q398" s="16" t="n">
        <x:v>36</x:v>
      </x:c>
      <x:c r="R398" s="16" t="n">
        <x:v>20</x:v>
      </x:c>
      <x:c r="S398" s="16" t="n">
        <x:v>8</x:v>
      </x:c>
      <x:c r="T398" s="15" t="n">
        <x:f>YEAR(A398)</x:f>
        <x:v>2025</x:v>
      </x:c>
      <x:c r="U398" s="15" t="n">
        <x:f>ROUNDUP(MONTH(A398)/3,0)</x:f>
        <x:v>3</x:v>
      </x:c>
      <x:c r="V398" s="18" t="n">
        <x:f>I398-J398</x:f>
        <x:v>42496.09</x:v>
      </x:c>
      <x:c r="W398" s="19" t="n">
        <x:f>IF(I398=0,"",V398/I398)</x:f>
        <x:v>0.3536286889986394</x:v>
      </x:c>
      <x:c r="X398" s="18" t="n">
        <x:f>I398-J398-K398-L398-M398</x:f>
        <x:v>31320.129999999994</x:v>
      </x:c>
      <x:c r="Y398" s="19" t="n">
        <x:f>IF(I398=0,"",X398/I398)</x:f>
        <x:v>0.26062860162351303</x:v>
      </x:c>
      <x:c r="Z398" s="18" t="n">
        <x:f>IF(E398=0,"",F398/E398)</x:f>
        <x:v>1162.5862162162164</x:v>
      </x:c>
      <x:c r="AA398" s="18" t="n">
        <x:f>IF(N398=0,"",M398/N398)</x:f>
        <x:v>69.77709677419355</x:v>
      </x:c>
      <x:c r="AB398" s="19" t="n">
        <x:f>IF(E398=0,"",O398/E398)</x:f>
        <x:v>0.17117117117117117</x:v>
      </x:c>
      <x:c r="AC398" s="19" t="n">
        <x:f>IF(E398=0,"",P398/E398)</x:f>
        <x:v>0.036036036036036036</x:v>
      </x:c>
      <x:c r="AD398" s="20" t="n">
        <x:f>IF(Q398=0,"",100*(R398-S398)/Q398)</x:f>
        <x:v>33.333333333333336</x:v>
      </x:c>
      <x:c r="AE398" s="19" t="n">
        <x:f>IF(F398=0,"",G398/F398)</x:f>
        <x:v>0.04277780192917205</x:v>
      </x:c>
      <x:c r="AF398" s="18" t="n">
        <x:f>ROUND(I398-(F398-G398-H398),2)</x:f>
        <x:v>0</x:v>
      </x:c>
    </x:row>
    <x:row r="399" ht="24" customHeight="1">
      <x:c r="A399" s="14" t="n">
        <x:v>45901</x:v>
      </x:c>
      <x:c r="B399" s="2" t="str">
        <x:v>B2B</x:v>
      </x:c>
      <x:c r="C399" s="2" t="str">
        <x:v>Nordeste</x:v>
      </x:c>
      <x:c r="D399" s="2" t="str">
        <x:v>M-0394</x:v>
      </x:c>
      <x:c r="E399" s="16" t="n">
        <x:v>69</x:v>
      </x:c>
      <x:c r="F399" s="17" t="n">
        <x:v>79746.36</x:v>
      </x:c>
      <x:c r="G399" s="17" t="n">
        <x:v>3411.37</x:v>
      </x:c>
      <x:c r="H399" s="17" t="n">
        <x:v>2073.41</x:v>
      </x:c>
      <x:c r="I399" s="17" t="n">
        <x:v>74261.58</x:v>
      </x:c>
      <x:c r="J399" s="17" t="n">
        <x:v>47885.96</x:v>
      </x:c>
      <x:c r="K399" s="17" t="n">
        <x:v>3787.34</x:v>
      </x:c>
      <x:c r="L399" s="17" t="n">
        <x:v>1782.28</x:v>
      </x:c>
      <x:c r="M399" s="17" t="n">
        <x:v>1336.71</x:v>
      </x:c>
      <x:c r="N399" s="16" t="n">
        <x:v>19</x:v>
      </x:c>
      <x:c r="O399" s="16" t="n">
        <x:v>12</x:v>
      </x:c>
      <x:c r="P399" s="16" t="n">
        <x:v>2</x:v>
      </x:c>
      <x:c r="Q399" s="16" t="n">
        <x:v>22</x:v>
      </x:c>
      <x:c r="R399" s="16" t="n">
        <x:v>12</x:v>
      </x:c>
      <x:c r="S399" s="16" t="n">
        <x:v>5</x:v>
      </x:c>
      <x:c r="T399" s="15" t="n">
        <x:f>YEAR(A399)</x:f>
        <x:v>2025</x:v>
      </x:c>
      <x:c r="U399" s="15" t="n">
        <x:f>ROUNDUP(MONTH(A399)/3,0)</x:f>
        <x:v>3</x:v>
      </x:c>
      <x:c r="V399" s="18" t="n">
        <x:f>I399-J399</x:f>
        <x:v>26375.620000000003</x:v>
      </x:c>
      <x:c r="W399" s="19" t="n">
        <x:f>IF(I399=0,"",V399/I399)</x:f>
        <x:v>0.35517181293476385</x:v>
      </x:c>
      <x:c r="X399" s="18" t="n">
        <x:f>I399-J399-K399-L399-M399</x:f>
        <x:v>19469.290000000005</x:v>
      </x:c>
      <x:c r="Y399" s="19" t="n">
        <x:f>IF(I399=0,"",X399/I399)</x:f>
        <x:v>0.26217177172906914</x:v>
      </x:c>
      <x:c r="Z399" s="18" t="n">
        <x:f>IF(E399=0,"",F399/E399)</x:f>
        <x:v>1155.744347826087</x:v>
      </x:c>
      <x:c r="AA399" s="18" t="n">
        <x:f>IF(N399=0,"",M399/N399)</x:f>
        <x:v>70.35315789473684</x:v>
      </x:c>
      <x:c r="AB399" s="19" t="n">
        <x:f>IF(E399=0,"",O399/E399)</x:f>
        <x:v>0.17391304347826086</x:v>
      </x:c>
      <x:c r="AC399" s="19" t="n">
        <x:f>IF(E399=0,"",P399/E399)</x:f>
        <x:v>0.028985507246376812</x:v>
      </x:c>
      <x:c r="AD399" s="20" t="n">
        <x:f>IF(Q399=0,"",100*(R399-S399)/Q399)</x:f>
        <x:v>31.818181818181817</x:v>
      </x:c>
      <x:c r="AE399" s="19" t="n">
        <x:f>IF(F399=0,"",G399/F399)</x:f>
        <x:v>0.042777751862279355</x:v>
      </x:c>
      <x:c r="AF399" s="18" t="n">
        <x:f>ROUND(I399-(F399-G399-H399),2)</x:f>
        <x:v>0</x:v>
      </x:c>
    </x:row>
    <x:row r="400" ht="24" customHeight="1">
      <x:c r="A400" s="14" t="n">
        <x:v>45901</x:v>
      </x:c>
      <x:c r="B400" s="2" t="str">
        <x:v>B2B</x:v>
      </x:c>
      <x:c r="C400" s="2" t="str">
        <x:v>Sul</x:v>
      </x:c>
      <x:c r="D400" s="2" t="str">
        <x:v>M-0395</x:v>
      </x:c>
      <x:c r="E400" s="16" t="n">
        <x:v>58</x:v>
      </x:c>
      <x:c r="F400" s="17" t="n">
        <x:v>67290.1</x:v>
      </x:c>
      <x:c r="G400" s="17" t="n">
        <x:v>2878.52</x:v>
      </x:c>
      <x:c r="H400" s="17" t="n">
        <x:v>1749.54</x:v>
      </x:c>
      <x:c r="I400" s="17" t="n">
        <x:v>62662.04</x:v>
      </x:c>
      <x:c r="J400" s="17" t="n">
        <x:v>39380.73</x:v>
      </x:c>
      <x:c r="K400" s="17" t="n">
        <x:v>3195.76</x:v>
      </x:c>
      <x:c r="L400" s="17" t="n">
        <x:v>1503.89</x:v>
      </x:c>
      <x:c r="M400" s="17" t="n">
        <x:v>1127.92</x:v>
      </x:c>
      <x:c r="N400" s="16" t="n">
        <x:v>16</x:v>
      </x:c>
      <x:c r="O400" s="16" t="n">
        <x:v>10</x:v>
      </x:c>
      <x:c r="P400" s="16" t="n">
        <x:v>2</x:v>
      </x:c>
      <x:c r="Q400" s="16" t="n">
        <x:v>19</x:v>
      </x:c>
      <x:c r="R400" s="16" t="n">
        <x:v>10</x:v>
      </x:c>
      <x:c r="S400" s="16" t="n">
        <x:v>4</x:v>
      </x:c>
      <x:c r="T400" s="15" t="n">
        <x:f>YEAR(A400)</x:f>
        <x:v>2025</x:v>
      </x:c>
      <x:c r="U400" s="15" t="n">
        <x:f>ROUNDUP(MONTH(A400)/3,0)</x:f>
        <x:v>3</x:v>
      </x:c>
      <x:c r="V400" s="18" t="n">
        <x:f>I400-J400</x:f>
        <x:v>23281.309999999998</x:v>
      </x:c>
      <x:c r="W400" s="19" t="n">
        <x:f>IF(I400=0,"",V400/I400)</x:f>
        <x:v>0.3715376965065293</x:v>
      </x:c>
      <x:c r="X400" s="18" t="n">
        <x:f>I400-J400-K400-L400-M400</x:f>
        <x:v>17453.739999999998</x:v>
      </x:c>
      <x:c r="Y400" s="19" t="n">
        <x:f>IF(I400=0,"",X400/I400)</x:f>
        <x:v>0.2785376920381143</x:v>
      </x:c>
      <x:c r="Z400" s="18" t="n">
        <x:f>IF(E400=0,"",F400/E400)</x:f>
        <x:v>1160.1741379310347</x:v>
      </x:c>
      <x:c r="AA400" s="18" t="n">
        <x:f>IF(N400=0,"",M400/N400)</x:f>
        <x:v>70.495</x:v>
      </x:c>
      <x:c r="AB400" s="19" t="n">
        <x:f>IF(E400=0,"",O400/E400)</x:f>
        <x:v>0.1724137931034483</x:v>
      </x:c>
      <x:c r="AC400" s="19" t="n">
        <x:f>IF(E400=0,"",P400/E400)</x:f>
        <x:v>0.034482758620689655</x:v>
      </x:c>
      <x:c r="AD400" s="20" t="n">
        <x:f>IF(Q400=0,"",100*(R400-S400)/Q400)</x:f>
        <x:v>31.57894736842105</x:v>
      </x:c>
      <x:c r="AE400" s="19" t="n">
        <x:f>IF(F400=0,"",G400/F400)</x:f>
        <x:v>0.042777763742363285</x:v>
      </x:c>
      <x:c r="AF400" s="18" t="n">
        <x:f>ROUND(I400-(F400-G400-H400),2)</x:f>
        <x:v>0</x:v>
      </x:c>
    </x:row>
    <x:row r="401" ht="24" customHeight="1">
      <x:c r="A401" s="14" t="n">
        <x:v>45901</x:v>
      </x:c>
      <x:c r="B401" s="2" t="str">
        <x:v>B2B</x:v>
      </x:c>
      <x:c r="C401" s="2" t="str">
        <x:v>Centro-Oeste</x:v>
      </x:c>
      <x:c r="D401" s="2" t="str">
        <x:v>M-0396</x:v>
      </x:c>
      <x:c r="E401" s="16" t="n">
        <x:v>54</x:v>
      </x:c>
      <x:c r="F401" s="17" t="n">
        <x:v>62217.48</x:v>
      </x:c>
      <x:c r="G401" s="17" t="n">
        <x:v>2661.53</x:v>
      </x:c>
      <x:c r="H401" s="17" t="n">
        <x:v>1617.65</x:v>
      </x:c>
      <x:c r="I401" s="17" t="n">
        <x:v>57938.3</x:v>
      </x:c>
      <x:c r="J401" s="17" t="n">
        <x:v>36505.54</x:v>
      </x:c>
      <x:c r="K401" s="17" t="n">
        <x:v>2954.85</x:v>
      </x:c>
      <x:c r="L401" s="17" t="n">
        <x:v>1390.52</x:v>
      </x:c>
      <x:c r="M401" s="17" t="n">
        <x:v>1042.89</x:v>
      </x:c>
      <x:c r="N401" s="16" t="n">
        <x:v>15</x:v>
      </x:c>
      <x:c r="O401" s="16" t="n">
        <x:v>9</x:v>
      </x:c>
      <x:c r="P401" s="16" t="n">
        <x:v>2</x:v>
      </x:c>
      <x:c r="Q401" s="16" t="n">
        <x:v>17</x:v>
      </x:c>
      <x:c r="R401" s="16" t="n">
        <x:v>9</x:v>
      </x:c>
      <x:c r="S401" s="16" t="n">
        <x:v>4</x:v>
      </x:c>
      <x:c r="T401" s="15" t="n">
        <x:f>YEAR(A401)</x:f>
        <x:v>2025</x:v>
      </x:c>
      <x:c r="U401" s="15" t="n">
        <x:f>ROUNDUP(MONTH(A401)/3,0)</x:f>
        <x:v>3</x:v>
      </x:c>
      <x:c r="V401" s="18" t="n">
        <x:f>I401-J401</x:f>
        <x:v>21432.760000000002</x:v>
      </x:c>
      <x:c r="W401" s="19" t="n">
        <x:f>IF(I401=0,"",V401/I401)</x:f>
        <x:v>0.3699238672864064</x:v>
      </x:c>
      <x:c r="X401" s="18" t="n">
        <x:f>I401-J401-K401-L401-M401</x:f>
        <x:v>16044.500000000004</x:v>
      </x:c>
      <x:c r="Y401" s="19" t="n">
        <x:f>IF(I401=0,"",X401/I401)</x:f>
        <x:v>0.27692390007991263</x:v>
      </x:c>
      <x:c r="Z401" s="18" t="n">
        <x:f>IF(E401=0,"",F401/E401)</x:f>
        <x:v>1152.1755555555555</x:v>
      </x:c>
      <x:c r="AA401" s="18" t="n">
        <x:f>IF(N401=0,"",M401/N401)</x:f>
        <x:v>69.52600000000001</x:v>
      </x:c>
      <x:c r="AB401" s="19" t="n">
        <x:f>IF(E401=0,"",O401/E401)</x:f>
        <x:v>0.16666666666666666</x:v>
      </x:c>
      <x:c r="AC401" s="19" t="n">
        <x:f>IF(E401=0,"",P401/E401)</x:f>
        <x:v>0.037037037037037035</x:v>
      </x:c>
      <x:c r="AD401" s="20" t="n">
        <x:f>IF(Q401=0,"",100*(R401-S401)/Q401)</x:f>
        <x:v>29.41176470588235</x:v>
      </x:c>
      <x:c r="AE401" s="19" t="n">
        <x:f>IF(F401=0,"",G401/F401)</x:f>
        <x:v>0.04277784956896358</x:v>
      </x:c>
      <x:c r="AF401" s="18" t="n">
        <x:f>ROUND(I401-(F401-G401-H401),2)</x:f>
        <x:v>0</x:v>
      </x:c>
    </x:row>
    <x:row r="402" ht="24" customHeight="1">
      <x:c r="A402" s="14" t="n">
        <x:v>45931</x:v>
      </x:c>
      <x:c r="B402" s="2" t="str">
        <x:v>E-commerce</x:v>
      </x:c>
      <x:c r="C402" s="2" t="str">
        <x:v>Sudeste</x:v>
      </x:c>
      <x:c r="D402" s="2" t="str">
        <x:v>M-0397</x:v>
      </x:c>
      <x:c r="E402" s="16" t="n">
        <x:v>219</x:v>
      </x:c>
      <x:c r="F402" s="17" t="n">
        <x:v>254270.44</x:v>
      </x:c>
      <x:c r="G402" s="17" t="n">
        <x:v>11018.39</x:v>
      </x:c>
      <x:c r="H402" s="17" t="n">
        <x:v>6738.17</x:v>
      </x:c>
      <x:c r="I402" s="17" t="n">
        <x:v>236513.88</x:v>
      </x:c>
      <x:c r="J402" s="17" t="n">
        <x:v>153136.88</x:v>
      </x:c>
      <x:c r="K402" s="17" t="n">
        <x:v>17265.51</x:v>
      </x:c>
      <x:c r="L402" s="17" t="n">
        <x:v>5676.33</x:v>
      </x:c>
      <x:c r="M402" s="17" t="n">
        <x:v>17738.54</x:v>
      </x:c>
      <x:c r="N402" s="16" t="n">
        <x:v>114</x:v>
      </x:c>
      <x:c r="O402" s="16" t="n">
        <x:v>60</x:v>
      </x:c>
      <x:c r="P402" s="16" t="n">
        <x:v>8</x:v>
      </x:c>
      <x:c r="Q402" s="16" t="n">
        <x:v>70</x:v>
      </x:c>
      <x:c r="R402" s="16" t="n">
        <x:v>38</x:v>
      </x:c>
      <x:c r="S402" s="16" t="n">
        <x:v>16</x:v>
      </x:c>
      <x:c r="T402" s="15" t="n">
        <x:f>YEAR(A402)</x:f>
        <x:v>2025</x:v>
      </x:c>
      <x:c r="U402" s="15" t="n">
        <x:f>ROUNDUP(MONTH(A402)/3,0)</x:f>
        <x:v>4</x:v>
      </x:c>
      <x:c r="V402" s="18" t="n">
        <x:f>I402-J402</x:f>
        <x:v>83377</x:v>
      </x:c>
      <x:c r="W402" s="19" t="n">
        <x:f>IF(I402=0,"",V402/I402)</x:f>
        <x:v>0.35252476514274766</x:v>
      </x:c>
      <x:c r="X402" s="18" t="n">
        <x:f>I402-J402-K402-L402-M402</x:f>
        <x:v>42696.62</x:v>
      </x:c>
      <x:c r="Y402" s="19" t="n">
        <x:f>IF(I402=0,"",X402/I402)</x:f>
        <x:v>0.18052479626142873</x:v>
      </x:c>
      <x:c r="Z402" s="18" t="n">
        <x:f>IF(E402=0,"",F402/E402)</x:f>
        <x:v>1161.0522374429224</x:v>
      </x:c>
      <x:c r="AA402" s="18" t="n">
        <x:f>IF(N402=0,"",M402/N402)</x:f>
        <x:v>155.60122807017544</x:v>
      </x:c>
      <x:c r="AB402" s="19" t="n">
        <x:f>IF(E402=0,"",O402/E402)</x:f>
        <x:v>0.273972602739726</x:v>
      </x:c>
      <x:c r="AC402" s="19" t="n">
        <x:f>IF(E402=0,"",P402/E402)</x:f>
        <x:v>0.0365296803652968</x:v>
      </x:c>
      <x:c r="AD402" s="20" t="n">
        <x:f>IF(Q402=0,"",100*(R402-S402)/Q402)</x:f>
        <x:v>31.428571428571427</x:v>
      </x:c>
      <x:c r="AE402" s="19" t="n">
        <x:f>IF(F402=0,"",G402/F402)</x:f>
        <x:v>0.04333335011336748</x:v>
      </x:c>
      <x:c r="AF402" s="18" t="n">
        <x:f>ROUND(I402-(F402-G402-H402),2)</x:f>
        <x:v>0</x:v>
      </x:c>
    </x:row>
    <x:row r="403" ht="24" customHeight="1">
      <x:c r="A403" s="14" t="n">
        <x:v>45931</x:v>
      </x:c>
      <x:c r="B403" s="2" t="str">
        <x:v>E-commerce</x:v>
      </x:c>
      <x:c r="C403" s="2" t="str">
        <x:v>Nordeste</x:v>
      </x:c>
      <x:c r="D403" s="2" t="str">
        <x:v>M-0398</x:v>
      </x:c>
      <x:c r="E403" s="16" t="n">
        <x:v>137</x:v>
      </x:c>
      <x:c r="F403" s="17" t="n">
        <x:v>159297.7</x:v>
      </x:c>
      <x:c r="G403" s="17" t="n">
        <x:v>6902.9</x:v>
      </x:c>
      <x:c r="H403" s="17" t="n">
        <x:v>4221.39</x:v>
      </x:c>
      <x:c r="I403" s="17" t="n">
        <x:v>148173.41</x:v>
      </x:c>
      <x:c r="J403" s="17" t="n">
        <x:v>93399.79</x:v>
      </x:c>
      <x:c r="K403" s="17" t="n">
        <x:v>10816.66</x:v>
      </x:c>
      <x:c r="L403" s="17" t="n">
        <x:v>3556.16</x:v>
      </x:c>
      <x:c r="M403" s="17" t="n">
        <x:v>11113.01</x:v>
      </x:c>
      <x:c r="N403" s="16" t="n">
        <x:v>71</x:v>
      </x:c>
      <x:c r="O403" s="16" t="n">
        <x:v>24</x:v>
      </x:c>
      <x:c r="P403" s="16" t="n">
        <x:v>5</x:v>
      </x:c>
      <x:c r="Q403" s="16" t="n">
        <x:v>44</x:v>
      </x:c>
      <x:c r="R403" s="16" t="n">
        <x:v>24</x:v>
      </x:c>
      <x:c r="S403" s="16" t="n">
        <x:v>10</x:v>
      </x:c>
      <x:c r="T403" s="15" t="n">
        <x:f>YEAR(A403)</x:f>
        <x:v>2025</x:v>
      </x:c>
      <x:c r="U403" s="15" t="n">
        <x:f>ROUNDUP(MONTH(A403)/3,0)</x:f>
        <x:v>4</x:v>
      </x:c>
      <x:c r="V403" s="18" t="n">
        <x:f>I403-J403</x:f>
        <x:v>54773.62000000001</x:v>
      </x:c>
      <x:c r="W403" s="19" t="n">
        <x:f>IF(I403=0,"",V403/I403)</x:f>
        <x:v>0.36965890168823146</x:v>
      </x:c>
      <x:c r="X403" s="18" t="n">
        <x:f>I403-J403-K403-L403-M403</x:f>
        <x:v>29287.79</x:v>
      </x:c>
      <x:c r="Y403" s="19" t="n">
        <x:f>IF(I403=0,"",X403/I403)</x:f>
        <x:v>0.19765887820223615</x:v>
      </x:c>
      <x:c r="Z403" s="18" t="n">
        <x:f>IF(E403=0,"",F403/E403)</x:f>
        <x:v>1162.7569343065695</x:v>
      </x:c>
      <x:c r="AA403" s="18" t="n">
        <x:f>IF(N403=0,"",M403/N403)</x:f>
        <x:v>156.5212676056338</x:v>
      </x:c>
      <x:c r="AB403" s="19" t="n">
        <x:f>IF(E403=0,"",O403/E403)</x:f>
        <x:v>0.17518248175182483</x:v>
      </x:c>
      <x:c r="AC403" s="19" t="n">
        <x:f>IF(E403=0,"",P403/E403)</x:f>
        <x:v>0.0364963503649635</x:v>
      </x:c>
      <x:c r="AD403" s="20" t="n">
        <x:f>IF(Q403=0,"",100*(R403-S403)/Q403)</x:f>
        <x:v>31.818181818181817</x:v>
      </x:c>
      <x:c r="AE403" s="19" t="n">
        <x:f>IF(F403=0,"",G403/F403)</x:f>
        <x:v>0.04333333124081515</x:v>
      </x:c>
      <x:c r="AF403" s="18" t="n">
        <x:f>ROUND(I403-(F403-G403-H403),2)</x:f>
        <x:v>0</x:v>
      </x:c>
    </x:row>
    <x:row r="404" ht="24" customHeight="1">
      <x:c r="A404" s="14" t="n">
        <x:v>45931</x:v>
      </x:c>
      <x:c r="B404" s="2" t="str">
        <x:v>E-commerce</x:v>
      </x:c>
      <x:c r="C404" s="2" t="str">
        <x:v>Sul</x:v>
      </x:c>
      <x:c r="D404" s="2" t="str">
        <x:v>M-0399</x:v>
      </x:c>
      <x:c r="E404" s="16" t="n">
        <x:v>108</x:v>
      </x:c>
      <x:c r="F404" s="17" t="n">
        <x:v>124937.67</x:v>
      </x:c>
      <x:c r="G404" s="17" t="n">
        <x:v>5413.97</x:v>
      </x:c>
      <x:c r="H404" s="17" t="n">
        <x:v>3310.85</x:v>
      </x:c>
      <x:c r="I404" s="17" t="n">
        <x:v>116212.85</x:v>
      </x:c>
      <x:c r="J404" s="17" t="n">
        <x:v>73808.62</x:v>
      </x:c>
      <x:c r="K404" s="17" t="n">
        <x:v>8483.54</x:v>
      </x:c>
      <x:c r="L404" s="17" t="n">
        <x:v>2789.11</x:v>
      </x:c>
      <x:c r="M404" s="17" t="n">
        <x:v>8715.96</x:v>
      </x:c>
      <x:c r="N404" s="16" t="n">
        <x:v>56</x:v>
      </x:c>
      <x:c r="O404" s="16" t="n">
        <x:v>19</x:v>
      </x:c>
      <x:c r="P404" s="16" t="n">
        <x:v>4</x:v>
      </x:c>
      <x:c r="Q404" s="16" t="n">
        <x:v>35</x:v>
      </x:c>
      <x:c r="R404" s="16" t="n">
        <x:v>19</x:v>
      </x:c>
      <x:c r="S404" s="16" t="n">
        <x:v>8</x:v>
      </x:c>
      <x:c r="T404" s="15" t="n">
        <x:f>YEAR(A404)</x:f>
        <x:v>2025</x:v>
      </x:c>
      <x:c r="U404" s="15" t="n">
        <x:f>ROUNDUP(MONTH(A404)/3,0)</x:f>
        <x:v>4</x:v>
      </x:c>
      <x:c r="V404" s="18" t="n">
        <x:f>I404-J404</x:f>
        <x:v>42404.23000000001</x:v>
      </x:c>
      <x:c r="W404" s="19" t="n">
        <x:f>IF(I404=0,"",V404/I404)</x:f>
        <x:v>0.3648841758893273</x:v>
      </x:c>
      <x:c r="X404" s="18" t="n">
        <x:f>I404-J404-K404-L404-M404</x:f>
        <x:v>22415.62000000001</x:v>
      </x:c>
      <x:c r="Y404" s="19" t="n">
        <x:f>IF(I404=0,"",X404/I404)</x:f>
        <x:v>0.19288417761030738</x:v>
      </x:c>
      <x:c r="Z404" s="18" t="n">
        <x:f>IF(E404=0,"",F404/E404)</x:f>
        <x:v>1156.8302777777778</x:v>
      </x:c>
      <x:c r="AA404" s="18" t="n">
        <x:f>IF(N404=0,"",M404/N404)</x:f>
        <x:v>155.64214285714283</x:v>
      </x:c>
      <x:c r="AB404" s="19" t="n">
        <x:f>IF(E404=0,"",O404/E404)</x:f>
        <x:v>0.17592592592592593</x:v>
      </x:c>
      <x:c r="AC404" s="19" t="n">
        <x:f>IF(E404=0,"",P404/E404)</x:f>
        <x:v>0.037037037037037035</x:v>
      </x:c>
      <x:c r="AD404" s="20" t="n">
        <x:f>IF(Q404=0,"",100*(R404-S404)/Q404)</x:f>
        <x:v>31.428571428571427</x:v>
      </x:c>
      <x:c r="AE404" s="19" t="n">
        <x:f>IF(F404=0,"",G404/F404)</x:f>
        <x:v>0.04333336775049511</x:v>
      </x:c>
      <x:c r="AF404" s="18" t="n">
        <x:f>ROUND(I404-(F404-G404-H404),2)</x:f>
        <x:v>0</x:v>
      </x:c>
    </x:row>
    <x:row r="405" ht="24" customHeight="1">
      <x:c r="A405" s="14" t="n">
        <x:v>45931</x:v>
      </x:c>
      <x:c r="B405" s="2" t="str">
        <x:v>E-commerce</x:v>
      </x:c>
      <x:c r="C405" s="2" t="str">
        <x:v>Centro-Oeste</x:v>
      </x:c>
      <x:c r="D405" s="2" t="str">
        <x:v>M-0400</x:v>
      </x:c>
      <x:c r="E405" s="16" t="n">
        <x:v>86</x:v>
      </x:c>
      <x:c r="F405" s="17" t="n">
        <x:v>100486.89</x:v>
      </x:c>
      <x:c r="G405" s="17" t="n">
        <x:v>4354.43</x:v>
      </x:c>
      <x:c r="H405" s="17" t="n">
        <x:v>2662.9</x:v>
      </x:c>
      <x:c r="I405" s="17" t="n">
        <x:v>93469.56</x:v>
      </x:c>
      <x:c r="J405" s="17" t="n">
        <x:v>57298.47</x:v>
      </x:c>
      <x:c r="K405" s="17" t="n">
        <x:v>6823.28</x:v>
      </x:c>
      <x:c r="L405" s="17" t="n">
        <x:v>2243.27</x:v>
      </x:c>
      <x:c r="M405" s="17" t="n">
        <x:v>7010.22</x:v>
      </x:c>
      <x:c r="N405" s="16" t="n">
        <x:v>45</x:v>
      </x:c>
      <x:c r="O405" s="16" t="n">
        <x:v>15</x:v>
      </x:c>
      <x:c r="P405" s="16" t="n">
        <x:v>3</x:v>
      </x:c>
      <x:c r="Q405" s="16" t="n">
        <x:v>28</x:v>
      </x:c>
      <x:c r="R405" s="16" t="n">
        <x:v>15</x:v>
      </x:c>
      <x:c r="S405" s="16" t="n">
        <x:v>6</x:v>
      </x:c>
      <x:c r="T405" s="15" t="n">
        <x:f>YEAR(A405)</x:f>
        <x:v>2025</x:v>
      </x:c>
      <x:c r="U405" s="15" t="n">
        <x:f>ROUNDUP(MONTH(A405)/3,0)</x:f>
        <x:v>4</x:v>
      </x:c>
      <x:c r="V405" s="18" t="n">
        <x:f>I405-J405</x:f>
        <x:v>36171.09</x:v>
      </x:c>
      <x:c r="W405" s="19" t="n">
        <x:f>IF(I405=0,"",V405/I405)</x:f>
        <x:v>0.38698256416313503</x:v>
      </x:c>
      <x:c r="X405" s="18" t="n">
        <x:f>I405-J405-K405-L405-M405</x:f>
        <x:v>20094.319999999996</x:v>
      </x:c>
      <x:c r="Y405" s="19" t="n">
        <x:f>IF(I405=0,"",X405/I405)</x:f>
        <x:v>0.21498250339468802</x:v>
      </x:c>
      <x:c r="Z405" s="18" t="n">
        <x:f>IF(E405=0,"",F405/E405)</x:f>
        <x:v>1168.4522093023256</x:v>
      </x:c>
      <x:c r="AA405" s="18" t="n">
        <x:f>IF(N405=0,"",M405/N405)</x:f>
        <x:v>155.78266666666667</x:v>
      </x:c>
      <x:c r="AB405" s="19" t="n">
        <x:f>IF(E405=0,"",O405/E405)</x:f>
        <x:v>0.1744186046511628</x:v>
      </x:c>
      <x:c r="AC405" s="19" t="n">
        <x:f>IF(E405=0,"",P405/E405)</x:f>
        <x:v>0.03488372093023256</x:v>
      </x:c>
      <x:c r="AD405" s="20" t="n">
        <x:f>IF(Q405=0,"",100*(R405-S405)/Q405)</x:f>
        <x:v>32.142857142857146</x:v>
      </x:c>
      <x:c r="AE405" s="19" t="n">
        <x:f>IF(F405=0,"",G405/F405)</x:f>
        <x:v>0.043333314425394204</x:v>
      </x:c>
      <x:c r="AF405" s="18" t="n">
        <x:f>ROUND(I405-(F405-G405-H405),2)</x:f>
        <x:v>0</x:v>
      </x:c>
    </x:row>
    <x:row r="406" ht="24" customHeight="1">
      <x:c r="A406" s="14" t="n">
        <x:v>45931</x:v>
      </x:c>
      <x:c r="B406" s="2" t="str">
        <x:v>Lojas</x:v>
      </x:c>
      <x:c r="C406" s="2" t="str">
        <x:v>Sudeste</x:v>
      </x:c>
      <x:c r="D406" s="2" t="str">
        <x:v>M-0401</x:v>
      </x:c>
      <x:c r="E406" s="16" t="n">
        <x:v>203</x:v>
      </x:c>
      <x:c r="F406" s="17" t="n">
        <x:v>236104.95</x:v>
      </x:c>
      <x:c r="G406" s="17" t="n">
        <x:v>10231.21</x:v>
      </x:c>
      <x:c r="H406" s="17" t="n">
        <x:v>6256.78</x:v>
      </x:c>
      <x:c r="I406" s="17" t="n">
        <x:v>219616.96</x:v>
      </x:c>
      <x:c r="J406" s="17" t="n">
        <x:v>141467.17</x:v>
      </x:c>
      <x:c r="K406" s="17" t="n">
        <x:v>11420.08</x:v>
      </x:c>
      <x:c r="L406" s="17" t="n">
        <x:v>5270.81</x:v>
      </x:c>
      <x:c r="M406" s="17" t="n">
        <x:v>3953.11</x:v>
      </x:c>
      <x:c r="N406" s="16" t="n">
        <x:v>57</x:v>
      </x:c>
      <x:c r="O406" s="16" t="n">
        <x:v>35</x:v>
      </x:c>
      <x:c r="P406" s="16" t="n">
        <x:v>7</x:v>
      </x:c>
      <x:c r="Q406" s="16" t="n">
        <x:v>65</x:v>
      </x:c>
      <x:c r="R406" s="16" t="n">
        <x:v>35</x:v>
      </x:c>
      <x:c r="S406" s="16" t="n">
        <x:v>15</x:v>
      </x:c>
      <x:c r="T406" s="15" t="n">
        <x:f>YEAR(A406)</x:f>
        <x:v>2025</x:v>
      </x:c>
      <x:c r="U406" s="15" t="n">
        <x:f>ROUNDUP(MONTH(A406)/3,0)</x:f>
        <x:v>4</x:v>
      </x:c>
      <x:c r="V406" s="18" t="n">
        <x:f>I406-J406</x:f>
        <x:v>78149.78999999998</x:v>
      </x:c>
      <x:c r="W406" s="19" t="n">
        <x:f>IF(I406=0,"",V406/I406)</x:f>
        <x:v>0.355845878205399</x:v>
      </x:c>
      <x:c r="X406" s="18" t="n">
        <x:f>I406-J406-K406-L406-M406</x:f>
        <x:v>57505.78999999998</x:v>
      </x:c>
      <x:c r="Y406" s="19" t="n">
        <x:f>IF(I406=0,"",X406/I406)</x:f>
        <x:v>0.2618458519779164</x:v>
      </x:c>
      <x:c r="Z406" s="18" t="n">
        <x:f>IF(E406=0,"",F406/E406)</x:f>
        <x:v>1163.0785714285714</x:v>
      </x:c>
      <x:c r="AA406" s="18" t="n">
        <x:f>IF(N406=0,"",M406/N406)</x:f>
        <x:v>69.35280701754387</x:v>
      </x:c>
      <x:c r="AB406" s="19" t="n">
        <x:f>IF(E406=0,"",O406/E406)</x:f>
        <x:v>0.1724137931034483</x:v>
      </x:c>
      <x:c r="AC406" s="19" t="n">
        <x:f>IF(E406=0,"",P406/E406)</x:f>
        <x:v>0.034482758620689655</x:v>
      </x:c>
      <x:c r="AD406" s="20" t="n">
        <x:f>IF(Q406=0,"",100*(R406-S406)/Q406)</x:f>
        <x:v>30.76923076923077</x:v>
      </x:c>
      <x:c r="AE406" s="19" t="n">
        <x:f>IF(F406=0,"",G406/F406)</x:f>
        <x:v>0.04333331427401246</x:v>
      </x:c>
      <x:c r="AF406" s="18" t="n">
        <x:f>ROUND(I406-(F406-G406-H406),2)</x:f>
        <x:v>0</x:v>
      </x:c>
    </x:row>
    <x:row r="407" ht="24" customHeight="1">
      <x:c r="A407" s="14" t="n">
        <x:v>45931</x:v>
      </x:c>
      <x:c r="B407" s="2" t="str">
        <x:v>Lojas</x:v>
      </x:c>
      <x:c r="C407" s="2" t="str">
        <x:v>Nordeste</x:v>
      </x:c>
      <x:c r="D407" s="2" t="str">
        <x:v>M-0402</x:v>
      </x:c>
      <x:c r="E407" s="16" t="n">
        <x:v>120</x:v>
      </x:c>
      <x:c r="F407" s="17" t="n">
        <x:v>139473.71</x:v>
      </x:c>
      <x:c r="G407" s="17" t="n">
        <x:v>6043.86</x:v>
      </x:c>
      <x:c r="H407" s="17" t="n">
        <x:v>3696.05</x:v>
      </x:c>
      <x:c r="I407" s="17" t="n">
        <x:v>129733.8</x:v>
      </x:c>
      <x:c r="J407" s="17" t="n">
        <x:v>83961.75</x:v>
      </x:c>
      <x:c r="K407" s="17" t="n">
        <x:v>6746.16</x:v>
      </x:c>
      <x:c r="L407" s="17" t="n">
        <x:v>3113.61</x:v>
      </x:c>
      <x:c r="M407" s="17" t="n">
        <x:v>2335.21</x:v>
      </x:c>
      <x:c r="N407" s="16" t="n">
        <x:v>34</x:v>
      </x:c>
      <x:c r="O407" s="16" t="n">
        <x:v>21</x:v>
      </x:c>
      <x:c r="P407" s="16" t="n">
        <x:v>4</x:v>
      </x:c>
      <x:c r="Q407" s="16" t="n">
        <x:v>38</x:v>
      </x:c>
      <x:c r="R407" s="16" t="n">
        <x:v>21</x:v>
      </x:c>
      <x:c r="S407" s="16" t="n">
        <x:v>9</x:v>
      </x:c>
      <x:c r="T407" s="15" t="n">
        <x:f>YEAR(A407)</x:f>
        <x:v>2025</x:v>
      </x:c>
      <x:c r="U407" s="15" t="n">
        <x:f>ROUNDUP(MONTH(A407)/3,0)</x:f>
        <x:v>4</x:v>
      </x:c>
      <x:c r="V407" s="18" t="n">
        <x:f>I407-J407</x:f>
        <x:v>45772.05</x:v>
      </x:c>
      <x:c r="W407" s="19" t="n">
        <x:f>IF(I407=0,"",V407/I407)</x:f>
        <x:v>0.35281514917469464</x:v>
      </x:c>
      <x:c r="X407" s="18" t="n">
        <x:f>I407-J407-K407-L407-M407</x:f>
        <x:v>33577.07</x:v>
      </x:c>
      <x:c r="Y407" s="19" t="n">
        <x:f>IF(I407=0,"",X407/I407)</x:f>
        <x:v>0.25881512759203845</x:v>
      </x:c>
      <x:c r="Z407" s="18" t="n">
        <x:f>IF(E407=0,"",F407/E407)</x:f>
        <x:v>1162.2809166666666</x:v>
      </x:c>
      <x:c r="AA407" s="18" t="n">
        <x:f>IF(N407=0,"",M407/N407)</x:f>
        <x:v>68.68264705882353</x:v>
      </x:c>
      <x:c r="AB407" s="19" t="n">
        <x:f>IF(E407=0,"",O407/E407)</x:f>
        <x:v>0.175</x:v>
      </x:c>
      <x:c r="AC407" s="19" t="n">
        <x:f>IF(E407=0,"",P407/E407)</x:f>
        <x:v>0.03333333333333333</x:v>
      </x:c>
      <x:c r="AD407" s="20" t="n">
        <x:f>IF(Q407=0,"",100*(R407-S407)/Q407)</x:f>
        <x:v>31.57894736842105</x:v>
      </x:c>
      <x:c r="AE407" s="19" t="n">
        <x:f>IF(F407=0,"",G407/F407)</x:f>
        <x:v>0.043333327836479</x:v>
      </x:c>
      <x:c r="AF407" s="18" t="n">
        <x:f>ROUND(I407-(F407-G407-H407),2)</x:f>
        <x:v>0</x:v>
      </x:c>
    </x:row>
    <x:row r="408" ht="24" customHeight="1">
      <x:c r="A408" s="14" t="n">
        <x:v>45931</x:v>
      </x:c>
      <x:c r="B408" s="2" t="str">
        <x:v>Lojas</x:v>
      </x:c>
      <x:c r="C408" s="2" t="str">
        <x:v>Sul</x:v>
      </x:c>
      <x:c r="D408" s="2" t="str">
        <x:v>M-0403</x:v>
      </x:c>
      <x:c r="E408" s="16" t="n">
        <x:v>95</x:v>
      </x:c>
      <x:c r="F408" s="17" t="n">
        <x:v>110327.8</x:v>
      </x:c>
      <x:c r="G408" s="17" t="n">
        <x:v>4780.87</x:v>
      </x:c>
      <x:c r="H408" s="17" t="n">
        <x:v>2923.69</x:v>
      </x:c>
      <x:c r="I408" s="17" t="n">
        <x:v>102623.24</x:v>
      </x:c>
      <x:c r="J408" s="17" t="n">
        <x:v>61630.69</x:v>
      </x:c>
      <x:c r="K408" s="17" t="n">
        <x:v>5336.41</x:v>
      </x:c>
      <x:c r="L408" s="17" t="n">
        <x:v>2462.96</x:v>
      </x:c>
      <x:c r="M408" s="17" t="n">
        <x:v>1847.22</x:v>
      </x:c>
      <x:c r="N408" s="16" t="n">
        <x:v>27</x:v>
      </x:c>
      <x:c r="O408" s="16" t="n">
        <x:v>16</x:v>
      </x:c>
      <x:c r="P408" s="16" t="n">
        <x:v>3</x:v>
      </x:c>
      <x:c r="Q408" s="16" t="n">
        <x:v>30</x:v>
      </x:c>
      <x:c r="R408" s="16" t="n">
        <x:v>16</x:v>
      </x:c>
      <x:c r="S408" s="16" t="n">
        <x:v>7</x:v>
      </x:c>
      <x:c r="T408" s="15" t="n">
        <x:f>YEAR(A408)</x:f>
        <x:v>2025</x:v>
      </x:c>
      <x:c r="U408" s="15" t="n">
        <x:f>ROUNDUP(MONTH(A408)/3,0)</x:f>
        <x:v>4</x:v>
      </x:c>
      <x:c r="V408" s="18" t="n">
        <x:f>I408-J408</x:f>
        <x:v>40992.55</x:v>
      </x:c>
      <x:c r="W408" s="19" t="n">
        <x:f>IF(I408=0,"",V408/I408)</x:f>
        <x:v>0.39944704532813424</x:v>
      </x:c>
      <x:c r="X408" s="18" t="n">
        <x:f>I408-J408-K408-L408-M408</x:f>
        <x:v>31345.96</x:v>
      </x:c>
      <x:c r="Y408" s="19" t="n">
        <x:f>IF(I408=0,"",X408/I408)</x:f>
        <x:v>0.30544699231869893</x:v>
      </x:c>
      <x:c r="Z408" s="18" t="n">
        <x:f>IF(E408=0,"",F408/E408)</x:f>
        <x:v>1161.3452631578948</x:v>
      </x:c>
      <x:c r="AA408" s="18" t="n">
        <x:f>IF(N408=0,"",M408/N408)</x:f>
        <x:v>68.41555555555556</x:v>
      </x:c>
      <x:c r="AB408" s="19" t="n">
        <x:f>IF(E408=0,"",O408/E408)</x:f>
        <x:v>0.16842105263157894</x:v>
      </x:c>
      <x:c r="AC408" s="19" t="n">
        <x:f>IF(E408=0,"",P408/E408)</x:f>
        <x:v>0.031578947368421054</x:v>
      </x:c>
      <x:c r="AD408" s="20" t="n">
        <x:f>IF(Q408=0,"",100*(R408-S408)/Q408)</x:f>
        <x:v>30</x:v>
      </x:c>
      <x:c r="AE408" s="19" t="n">
        <x:f>IF(F408=0,"",G408/F408)</x:f>
        <x:v>0.043333321248135104</x:v>
      </x:c>
      <x:c r="AF408" s="18" t="n">
        <x:f>ROUND(I408-(F408-G408-H408),2)</x:f>
        <x:v>0</x:v>
      </x:c>
    </x:row>
    <x:row r="409" ht="24" customHeight="1">
      <x:c r="A409" s="14" t="n">
        <x:v>45931</x:v>
      </x:c>
      <x:c r="B409" s="2" t="str">
        <x:v>Lojas</x:v>
      </x:c>
      <x:c r="C409" s="2" t="str">
        <x:v>Centro-Oeste</x:v>
      </x:c>
      <x:c r="D409" s="2" t="str">
        <x:v>M-0404</x:v>
      </x:c>
      <x:c r="E409" s="16" t="n">
        <x:v>86</x:v>
      </x:c>
      <x:c r="F409" s="17" t="n">
        <x:v>99792.79</x:v>
      </x:c>
      <x:c r="G409" s="17" t="n">
        <x:v>4324.35</x:v>
      </x:c>
      <x:c r="H409" s="17" t="n">
        <x:v>2644.51</x:v>
      </x:c>
      <x:c r="I409" s="17" t="n">
        <x:v>92823.93</x:v>
      </x:c>
      <x:c r="J409" s="17" t="n">
        <x:v>59399.63</x:v>
      </x:c>
      <x:c r="K409" s="17" t="n">
        <x:v>4826.84</x:v>
      </x:c>
      <x:c r="L409" s="17" t="n">
        <x:v>2227.77</x:v>
      </x:c>
      <x:c r="M409" s="17" t="n">
        <x:v>1670.83</x:v>
      </x:c>
      <x:c r="N409" s="16" t="n">
        <x:v>24</x:v>
      </x:c>
      <x:c r="O409" s="16" t="n">
        <x:v>15</x:v>
      </x:c>
      <x:c r="P409" s="16" t="n">
        <x:v>3</x:v>
      </x:c>
      <x:c r="Q409" s="16" t="n">
        <x:v>28</x:v>
      </x:c>
      <x:c r="R409" s="16" t="n">
        <x:v>15</x:v>
      </x:c>
      <x:c r="S409" s="16" t="n">
        <x:v>6</x:v>
      </x:c>
      <x:c r="T409" s="15" t="n">
        <x:f>YEAR(A409)</x:f>
        <x:v>2025</x:v>
      </x:c>
      <x:c r="U409" s="15" t="n">
        <x:f>ROUNDUP(MONTH(A409)/3,0)</x:f>
        <x:v>4</x:v>
      </x:c>
      <x:c r="V409" s="18" t="n">
        <x:f>I409-J409</x:f>
        <x:v>33424.299999999996</x:v>
      </x:c>
      <x:c r="W409" s="19" t="n">
        <x:f>IF(I409=0,"",V409/I409)</x:f>
        <x:v>0.3600827933055625</x:v>
      </x:c>
      <x:c r="X409" s="18" t="n">
        <x:f>I409-J409-K409-L409-M409</x:f>
        <x:v>24698.859999999993</x:v>
      </x:c>
      <x:c r="Y409" s="19" t="n">
        <x:f>IF(I409=0,"",X409/I409)</x:f>
        <x:v>0.2660828947880142</x:v>
      </x:c>
      <x:c r="Z409" s="18" t="n">
        <x:f>IF(E409=0,"",F409/E409)</x:f>
        <x:v>1160.3812790697673</x:v>
      </x:c>
      <x:c r="AA409" s="18" t="n">
        <x:f>IF(N409=0,"",M409/N409)</x:f>
        <x:v>69.61791666666666</x:v>
      </x:c>
      <x:c r="AB409" s="19" t="n">
        <x:f>IF(E409=0,"",O409/E409)</x:f>
        <x:v>0.1744186046511628</x:v>
      </x:c>
      <x:c r="AC409" s="19" t="n">
        <x:f>IF(E409=0,"",P409/E409)</x:f>
        <x:v>0.03488372093023256</x:v>
      </x:c>
      <x:c r="AD409" s="20" t="n">
        <x:f>IF(Q409=0,"",100*(R409-S409)/Q409)</x:f>
        <x:v>32.142857142857146</x:v>
      </x:c>
      <x:c r="AE409" s="19" t="n">
        <x:f>IF(F409=0,"",G409/F409)</x:f>
        <x:v>0.04333329091209897</x:v>
      </x:c>
      <x:c r="AF409" s="18" t="n">
        <x:f>ROUND(I409-(F409-G409-H409),2)</x:f>
        <x:v>0</x:v>
      </x:c>
    </x:row>
    <x:row r="410" ht="24" customHeight="1">
      <x:c r="A410" s="14" t="n">
        <x:v>45931</x:v>
      </x:c>
      <x:c r="B410" s="2" t="str">
        <x:v>B2B</x:v>
      </x:c>
      <x:c r="C410" s="2" t="str">
        <x:v>Sudeste</x:v>
      </x:c>
      <x:c r="D410" s="2" t="str">
        <x:v>M-0405</x:v>
      </x:c>
      <x:c r="E410" s="16" t="n">
        <x:v>115</x:v>
      </x:c>
      <x:c r="F410" s="17" t="n">
        <x:v>133342.19</x:v>
      </x:c>
      <x:c r="G410" s="17" t="n">
        <x:v>5778.16</x:v>
      </x:c>
      <x:c r="H410" s="17" t="n">
        <x:v>3533.57</x:v>
      </x:c>
      <x:c r="I410" s="17" t="n">
        <x:v>124030.46</x:v>
      </x:c>
      <x:c r="J410" s="17" t="n">
        <x:v>74560.43</x:v>
      </x:c>
      <x:c r="K410" s="17" t="n">
        <x:v>6449.58</x:v>
      </x:c>
      <x:c r="L410" s="17" t="n">
        <x:v>2976.73</x:v>
      </x:c>
      <x:c r="M410" s="17" t="n">
        <x:v>2232.55</x:v>
      </x:c>
      <x:c r="N410" s="16" t="n">
        <x:v>32</x:v>
      </x:c>
      <x:c r="O410" s="16" t="n">
        <x:v>20</x:v>
      </x:c>
      <x:c r="P410" s="16" t="n">
        <x:v>4</x:v>
      </x:c>
      <x:c r="Q410" s="16" t="n">
        <x:v>37</x:v>
      </x:c>
      <x:c r="R410" s="16" t="n">
        <x:v>20</x:v>
      </x:c>
      <x:c r="S410" s="16" t="n">
        <x:v>9</x:v>
      </x:c>
      <x:c r="T410" s="15" t="n">
        <x:f>YEAR(A410)</x:f>
        <x:v>2025</x:v>
      </x:c>
      <x:c r="U410" s="15" t="n">
        <x:f>ROUNDUP(MONTH(A410)/3,0)</x:f>
        <x:v>4</x:v>
      </x:c>
      <x:c r="V410" s="18" t="n">
        <x:f>I410-J410</x:f>
        <x:v>49470.03000000001</x:v>
      </x:c>
      <x:c r="W410" s="19" t="n">
        <x:f>IF(I410=0,"",V410/I410)</x:f>
        <x:v>0.3988538783134402</x:v>
      </x:c>
      <x:c r="X410" s="18" t="n">
        <x:f>I410-J410-K410-L410-M410</x:f>
        <x:v>37811.170000000006</x:v>
      </x:c>
      <x:c r="Y410" s="19" t="n">
        <x:f>IF(I410=0,"",X410/I410)</x:f>
        <x:v>0.3048539044360555</x:v>
      </x:c>
      <x:c r="Z410" s="18" t="n">
        <x:f>IF(E410=0,"",F410/E410)</x:f>
        <x:v>1159.497304347826</x:v>
      </x:c>
      <x:c r="AA410" s="18" t="n">
        <x:f>IF(N410=0,"",M410/N410)</x:f>
        <x:v>69.7671875</x:v>
      </x:c>
      <x:c r="AB410" s="19" t="n">
        <x:f>IF(E410=0,"",O410/E410)</x:f>
        <x:v>0.17391304347826086</x:v>
      </x:c>
      <x:c r="AC410" s="19" t="n">
        <x:f>IF(E410=0,"",P410/E410)</x:f>
        <x:v>0.034782608695652174</x:v>
      </x:c>
      <x:c r="AD410" s="20" t="n">
        <x:f>IF(Q410=0,"",100*(R410-S410)/Q410)</x:f>
        <x:v>29.72972972972973</x:v>
      </x:c>
      <x:c r="AE410" s="19" t="n">
        <x:f>IF(F410=0,"",G410/F410)</x:f>
        <x:v>0.04333332158411377</x:v>
      </x:c>
      <x:c r="AF410" s="18" t="n">
        <x:f>ROUND(I410-(F410-G410-H410),2)</x:f>
        <x:v>0</x:v>
      </x:c>
    </x:row>
    <x:row r="411" ht="24" customHeight="1">
      <x:c r="A411" s="14" t="n">
        <x:v>45931</x:v>
      </x:c>
      <x:c r="B411" s="2" t="str">
        <x:v>B2B</x:v>
      </x:c>
      <x:c r="C411" s="2" t="str">
        <x:v>Nordeste</x:v>
      </x:c>
      <x:c r="D411" s="2" t="str">
        <x:v>M-0406</x:v>
      </x:c>
      <x:c r="E411" s="16" t="n">
        <x:v>81</x:v>
      </x:c>
      <x:c r="F411" s="17" t="n">
        <x:v>93641.87</x:v>
      </x:c>
      <x:c r="G411" s="17" t="n">
        <x:v>4057.81</x:v>
      </x:c>
      <x:c r="H411" s="17" t="n">
        <x:v>2481.51</x:v>
      </x:c>
      <x:c r="I411" s="17" t="n">
        <x:v>87102.55</x:v>
      </x:c>
      <x:c r="J411" s="17" t="n">
        <x:v>55462.78</x:v>
      </x:c>
      <x:c r="K411" s="17" t="n">
        <x:v>4529.33</x:v>
      </x:c>
      <x:c r="L411" s="17" t="n">
        <x:v>2090.46</x:v>
      </x:c>
      <x:c r="M411" s="17" t="n">
        <x:v>1567.85</x:v>
      </x:c>
      <x:c r="N411" s="16" t="n">
        <x:v>23</x:v>
      </x:c>
      <x:c r="O411" s="16" t="n">
        <x:v>14</x:v>
      </x:c>
      <x:c r="P411" s="16" t="n">
        <x:v>3</x:v>
      </x:c>
      <x:c r="Q411" s="16" t="n">
        <x:v>26</x:v>
      </x:c>
      <x:c r="R411" s="16" t="n">
        <x:v>14</x:v>
      </x:c>
      <x:c r="S411" s="16" t="n">
        <x:v>6</x:v>
      </x:c>
      <x:c r="T411" s="15" t="n">
        <x:f>YEAR(A411)</x:f>
        <x:v>2025</x:v>
      </x:c>
      <x:c r="U411" s="15" t="n">
        <x:f>ROUNDUP(MONTH(A411)/3,0)</x:f>
        <x:v>4</x:v>
      </x:c>
      <x:c r="V411" s="18" t="n">
        <x:f>I411-J411</x:f>
        <x:v>31639.770000000004</x:v>
      </x:c>
      <x:c r="W411" s="19" t="n">
        <x:f>IF(I411=0,"",V411/I411)</x:f>
        <x:v>0.36324734465294073</x:v>
      </x:c>
      <x:c r="X411" s="18" t="n">
        <x:f>I411-J411-K411-L411-M411</x:f>
        <x:v>23452.130000000005</x:v>
      </x:c>
      <x:c r="Y411" s="19" t="n">
        <x:f>IF(I411=0,"",X411/I411)</x:f>
        <x:v>0.2692473412087247</x:v>
      </x:c>
      <x:c r="Z411" s="18" t="n">
        <x:f>IF(E411=0,"",F411/E411)</x:f>
        <x:v>1156.0724691358025</x:v>
      </x:c>
      <x:c r="AA411" s="18" t="n">
        <x:f>IF(N411=0,"",M411/N411)</x:f>
        <x:v>68.16739130434782</x:v>
      </x:c>
      <x:c r="AB411" s="19" t="n">
        <x:f>IF(E411=0,"",O411/E411)</x:f>
        <x:v>0.1728395061728395</x:v>
      </x:c>
      <x:c r="AC411" s="19" t="n">
        <x:f>IF(E411=0,"",P411/E411)</x:f>
        <x:v>0.037037037037037035</x:v>
      </x:c>
      <x:c r="AD411" s="20" t="n">
        <x:f>IF(Q411=0,"",100*(R411-S411)/Q411)</x:f>
        <x:v>30.76923076923077</x:v>
      </x:c>
      <x:c r="AE411" s="19" t="n">
        <x:f>IF(F411=0,"",G411/F411)</x:f>
        <x:v>0.043333286701771334</x:v>
      </x:c>
      <x:c r="AF411" s="18" t="n">
        <x:f>ROUND(I411-(F411-G411-H411),2)</x:f>
        <x:v>0</x:v>
      </x:c>
    </x:row>
    <x:row r="412" ht="24" customHeight="1">
      <x:c r="A412" s="14" t="n">
        <x:v>45931</x:v>
      </x:c>
      <x:c r="B412" s="2" t="str">
        <x:v>B2B</x:v>
      </x:c>
      <x:c r="C412" s="2" t="str">
        <x:v>Sul</x:v>
      </x:c>
      <x:c r="D412" s="2" t="str">
        <x:v>M-0407</x:v>
      </x:c>
      <x:c r="E412" s="16" t="n">
        <x:v>54</x:v>
      </x:c>
      <x:c r="F412" s="17" t="n">
        <x:v>62785.47</x:v>
      </x:c>
      <x:c r="G412" s="17" t="n">
        <x:v>2720.7</x:v>
      </x:c>
      <x:c r="H412" s="17" t="n">
        <x:v>1663.81</x:v>
      </x:c>
      <x:c r="I412" s="17" t="n">
        <x:v>58400.96</x:v>
      </x:c>
      <x:c r="J412" s="17" t="n">
        <x:v>37835.97</x:v>
      </x:c>
      <x:c r="K412" s="17" t="n">
        <x:v>3036.85</x:v>
      </x:c>
      <x:c r="L412" s="17" t="n">
        <x:v>1401.62</x:v>
      </x:c>
      <x:c r="M412" s="17" t="n">
        <x:v>1051.22</x:v>
      </x:c>
      <x:c r="N412" s="16" t="n">
        <x:v>15</x:v>
      </x:c>
      <x:c r="O412" s="16" t="n">
        <x:v>9</x:v>
      </x:c>
      <x:c r="P412" s="16" t="n">
        <x:v>2</x:v>
      </x:c>
      <x:c r="Q412" s="16" t="n">
        <x:v>17</x:v>
      </x:c>
      <x:c r="R412" s="16" t="n">
        <x:v>9</x:v>
      </x:c>
      <x:c r="S412" s="16" t="n">
        <x:v>4</x:v>
      </x:c>
      <x:c r="T412" s="15" t="n">
        <x:f>YEAR(A412)</x:f>
        <x:v>2025</x:v>
      </x:c>
      <x:c r="U412" s="15" t="n">
        <x:f>ROUNDUP(MONTH(A412)/3,0)</x:f>
        <x:v>4</x:v>
      </x:c>
      <x:c r="V412" s="18" t="n">
        <x:f>I412-J412</x:f>
        <x:v>20564.989999999998</x:v>
      </x:c>
      <x:c r="W412" s="19" t="n">
        <x:f>IF(I412=0,"",V412/I412)</x:f>
        <x:v>0.35213445121450054</x:v>
      </x:c>
      <x:c r="X412" s="18" t="n">
        <x:f>I412-J412-K412-L412-M412</x:f>
        <x:v>15075.300000000001</x:v>
      </x:c>
      <x:c r="Y412" s="19" t="n">
        <x:f>IF(I412=0,"",X412/I412)</x:f>
        <x:v>0.25813445532402207</x:v>
      </x:c>
      <x:c r="Z412" s="18" t="n">
        <x:f>IF(E412=0,"",F412/E412)</x:f>
        <x:v>1162.693888888889</x:v>
      </x:c>
      <x:c r="AA412" s="18" t="n">
        <x:f>IF(N412=0,"",M412/N412)</x:f>
        <x:v>70.08133333333333</x:v>
      </x:c>
      <x:c r="AB412" s="19" t="n">
        <x:f>IF(E412=0,"",O412/E412)</x:f>
        <x:v>0.16666666666666666</x:v>
      </x:c>
      <x:c r="AC412" s="19" t="n">
        <x:f>IF(E412=0,"",P412/E412)</x:f>
        <x:v>0.037037037037037035</x:v>
      </x:c>
      <x:c r="AD412" s="20" t="n">
        <x:f>IF(Q412=0,"",100*(R412-S412)/Q412)</x:f>
        <x:v>29.41176470588235</x:v>
      </x:c>
      <x:c r="AE412" s="19" t="n">
        <x:f>IF(F412=0,"",G412/F412)</x:f>
        <x:v>0.043333274402501086</x:v>
      </x:c>
      <x:c r="AF412" s="18" t="n">
        <x:f>ROUND(I412-(F412-G412-H412),2)</x:f>
        <x:v>0</x:v>
      </x:c>
    </x:row>
    <x:row r="413" ht="24" customHeight="1">
      <x:c r="A413" s="14" t="n">
        <x:v>45931</x:v>
      </x:c>
      <x:c r="B413" s="2" t="str">
        <x:v>B2B</x:v>
      </x:c>
      <x:c r="C413" s="2" t="str">
        <x:v>Centro-Oeste</x:v>
      </x:c>
      <x:c r="D413" s="2" t="str">
        <x:v>M-0408</x:v>
      </x:c>
      <x:c r="E413" s="16" t="n">
        <x:v>45</x:v>
      </x:c>
      <x:c r="F413" s="17" t="n">
        <x:v>52061.39</x:v>
      </x:c>
      <x:c r="G413" s="17" t="n">
        <x:v>2255.99</x:v>
      </x:c>
      <x:c r="H413" s="17" t="n">
        <x:v>1379.63</x:v>
      </x:c>
      <x:c r="I413" s="17" t="n">
        <x:v>48425.77</x:v>
      </x:c>
      <x:c r="J413" s="17" t="n">
        <x:v>31059.98</x:v>
      </x:c>
      <x:c r="K413" s="17" t="n">
        <x:v>2518.14</x:v>
      </x:c>
      <x:c r="L413" s="17" t="n">
        <x:v>1162.22</x:v>
      </x:c>
      <x:c r="M413" s="17" t="n">
        <x:v>871.66</x:v>
      </x:c>
      <x:c r="N413" s="16" t="n">
        <x:v>13</x:v>
      </x:c>
      <x:c r="O413" s="16" t="n">
        <x:v>8</x:v>
      </x:c>
      <x:c r="P413" s="16" t="n">
        <x:v>2</x:v>
      </x:c>
      <x:c r="Q413" s="16" t="n">
        <x:v>14</x:v>
      </x:c>
      <x:c r="R413" s="16" t="n">
        <x:v>8</x:v>
      </x:c>
      <x:c r="S413" s="16" t="n">
        <x:v>3</x:v>
      </x:c>
      <x:c r="T413" s="15" t="n">
        <x:f>YEAR(A413)</x:f>
        <x:v>2025</x:v>
      </x:c>
      <x:c r="U413" s="15" t="n">
        <x:f>ROUNDUP(MONTH(A413)/3,0)</x:f>
        <x:v>4</x:v>
      </x:c>
      <x:c r="V413" s="18" t="n">
        <x:f>I413-J413</x:f>
        <x:v>17365.789999999997</x:v>
      </x:c>
      <x:c r="W413" s="19" t="n">
        <x:f>IF(I413=0,"",V413/I413)</x:f>
        <x:v>0.3586063783807671</x:v>
      </x:c>
      <x:c r="X413" s="18" t="n">
        <x:f>I413-J413-K413-L413-M413</x:f>
        <x:v>12813.769999999999</x:v>
      </x:c>
      <x:c r="Y413" s="19" t="n">
        <x:f>IF(I413=0,"",X413/I413)</x:f>
        <x:v>0.2646064275281529</x:v>
      </x:c>
      <x:c r="Z413" s="18" t="n">
        <x:f>IF(E413=0,"",F413/E413)</x:f>
        <x:v>1156.9197777777777</x:v>
      </x:c>
      <x:c r="AA413" s="18" t="n">
        <x:f>IF(N413=0,"",M413/N413)</x:f>
        <x:v>67.05076923076923</x:v>
      </x:c>
      <x:c r="AB413" s="19" t="n">
        <x:f>IF(E413=0,"",O413/E413)</x:f>
        <x:v>0.17777777777777778</x:v>
      </x:c>
      <x:c r="AC413" s="19" t="n">
        <x:f>IF(E413=0,"",P413/E413)</x:f>
        <x:v>0.044444444444444446</x:v>
      </x:c>
      <x:c r="AD413" s="20" t="n">
        <x:f>IF(Q413=0,"",100*(R413-S413)/Q413)</x:f>
        <x:v>35.714285714285715</x:v>
      </x:c>
      <x:c r="AE413" s="19" t="n">
        <x:f>IF(F413=0,"",G413/F413)</x:f>
        <x:v>0.043333264824469725</x:v>
      </x:c>
      <x:c r="AF413" s="18" t="n">
        <x:f>ROUND(I413-(F413-G413-H413),2)</x:f>
        <x:v>0</x:v>
      </x:c>
    </x:row>
    <x:row r="414" ht="24" customHeight="1">
      <x:c r="A414" s="14" t="n">
        <x:v>45962</x:v>
      </x:c>
      <x:c r="B414" s="2" t="str">
        <x:v>E-commerce</x:v>
      </x:c>
      <x:c r="C414" s="2" t="str">
        <x:v>Sudeste</x:v>
      </x:c>
      <x:c r="D414" s="2" t="str">
        <x:v>M-0409</x:v>
      </x:c>
      <x:c r="E414" s="16" t="n">
        <x:v>268</x:v>
      </x:c>
      <x:c r="F414" s="17" t="n">
        <x:v>311067.74</x:v>
      </x:c>
      <x:c r="G414" s="17" t="n">
        <x:v>13652.42</x:v>
      </x:c>
      <x:c r="H414" s="17" t="n">
        <x:v>8398.83</x:v>
      </x:c>
      <x:c r="I414" s="17" t="n">
        <x:v>289016.49</x:v>
      </x:c>
      <x:c r="J414" s="17" t="n">
        <x:v>183190.48</x:v>
      </x:c>
      <x:c r="K414" s="17" t="n">
        <x:v>21387.22</x:v>
      </x:c>
      <x:c r="L414" s="17" t="n">
        <x:v>6936.4</x:v>
      </x:c>
      <x:c r="M414" s="17" t="n">
        <x:v>21676.24</x:v>
      </x:c>
      <x:c r="N414" s="16" t="n">
        <x:v>139</x:v>
      </x:c>
      <x:c r="O414" s="16" t="n">
        <x:v>74</x:v>
      </x:c>
      <x:c r="P414" s="16" t="n">
        <x:v>9</x:v>
      </x:c>
      <x:c r="Q414" s="16" t="n">
        <x:v>86</x:v>
      </x:c>
      <x:c r="R414" s="16" t="n">
        <x:v>46</x:v>
      </x:c>
      <x:c r="S414" s="16" t="n">
        <x:v>20</x:v>
      </x:c>
      <x:c r="T414" s="15" t="n">
        <x:f>YEAR(A414)</x:f>
        <x:v>2025</x:v>
      </x:c>
      <x:c r="U414" s="15" t="n">
        <x:f>ROUNDUP(MONTH(A414)/3,0)</x:f>
        <x:v>4</x:v>
      </x:c>
      <x:c r="V414" s="18" t="n">
        <x:f>I414-J414</x:f>
        <x:v>105826.00999999998</x:v>
      </x:c>
      <x:c r="W414" s="19" t="n">
        <x:f>IF(I414=0,"",V414/I414)</x:f>
        <x:v>0.3661590727920057</x:v>
      </x:c>
      <x:c r="X414" s="18" t="n">
        <x:f>I414-J414-K414-L414-M414</x:f>
        <x:v>55826.14999999998</x:v>
      </x:c>
      <x:c r="Y414" s="19" t="n">
        <x:f>IF(I414=0,"",X414/I414)</x:f>
        <x:v>0.19315904777613202</x:v>
      </x:c>
      <x:c r="Z414" s="18" t="n">
        <x:f>IF(E414=0,"",F414/E414)</x:f>
        <x:v>1160.7005223880597</x:v>
      </x:c>
      <x:c r="AA414" s="18" t="n">
        <x:f>IF(N414=0,"",M414/N414)</x:f>
        <x:v>155.9441726618705</x:v>
      </x:c>
      <x:c r="AB414" s="19" t="n">
        <x:f>IF(E414=0,"",O414/E414)</x:f>
        <x:v>0.27611940298507465</x:v>
      </x:c>
      <x:c r="AC414" s="19" t="n">
        <x:f>IF(E414=0,"",P414/E414)</x:f>
        <x:v>0.033582089552238806</x:v>
      </x:c>
      <x:c r="AD414" s="20" t="n">
        <x:f>IF(Q414=0,"",100*(R414-S414)/Q414)</x:f>
        <x:v>30.232558139534884</x:v>
      </x:c>
      <x:c r="AE414" s="19" t="n">
        <x:f>IF(F414=0,"",G414/F414)</x:f>
        <x:v>0.0438888969971621</x:v>
      </x:c>
      <x:c r="AF414" s="18" t="n">
        <x:f>ROUND(I414-(F414-G414-H414),2)</x:f>
        <x:v>0</x:v>
      </x:c>
    </x:row>
    <x:row r="415" ht="24" customHeight="1">
      <x:c r="A415" s="14" t="n">
        <x:v>45962</x:v>
      </x:c>
      <x:c r="B415" s="2" t="str">
        <x:v>E-commerce</x:v>
      </x:c>
      <x:c r="C415" s="2" t="str">
        <x:v>Nordeste</x:v>
      </x:c>
      <x:c r="D415" s="2" t="str">
        <x:v>M-0410</x:v>
      </x:c>
      <x:c r="E415" s="16" t="n">
        <x:v>208</x:v>
      </x:c>
      <x:c r="F415" s="17" t="n">
        <x:v>241321.03</x:v>
      </x:c>
      <x:c r="G415" s="17" t="n">
        <x:v>10591.31</x:v>
      </x:c>
      <x:c r="H415" s="17" t="n">
        <x:v>6515.67</x:v>
      </x:c>
      <x:c r="I415" s="17" t="n">
        <x:v>224214.05</x:v>
      </x:c>
      <x:c r="J415" s="17" t="n">
        <x:v>137597.16</x:v>
      </x:c>
      <x:c r="K415" s="17" t="n">
        <x:v>16591.84</x:v>
      </x:c>
      <x:c r="L415" s="17" t="n">
        <x:v>5381.14</x:v>
      </x:c>
      <x:c r="M415" s="17" t="n">
        <x:v>16816.05</x:v>
      </x:c>
      <x:c r="N415" s="16" t="n">
        <x:v>108</x:v>
      </x:c>
      <x:c r="O415" s="16" t="n">
        <x:v>37</x:v>
      </x:c>
      <x:c r="P415" s="16" t="n">
        <x:v>7</x:v>
      </x:c>
      <x:c r="Q415" s="16" t="n">
        <x:v>67</x:v>
      </x:c>
      <x:c r="R415" s="16" t="n">
        <x:v>36</x:v>
      </x:c>
      <x:c r="S415" s="16" t="n">
        <x:v>16</x:v>
      </x:c>
      <x:c r="T415" s="15" t="n">
        <x:f>YEAR(A415)</x:f>
        <x:v>2025</x:v>
      </x:c>
      <x:c r="U415" s="15" t="n">
        <x:f>ROUNDUP(MONTH(A415)/3,0)</x:f>
        <x:v>4</x:v>
      </x:c>
      <x:c r="V415" s="18" t="n">
        <x:f>I415-J415</x:f>
        <x:v>86616.88999999998</x:v>
      </x:c>
      <x:c r="W415" s="19" t="n">
        <x:f>IF(I415=0,"",V415/I415)</x:f>
        <x:v>0.38631339115456853</x:v>
      </x:c>
      <x:c r="X415" s="18" t="n">
        <x:f>I415-J415-K415-L415-M415</x:f>
        <x:v>47827.859999999986</x:v>
      </x:c>
      <x:c r="Y415" s="19" t="n">
        <x:f>IF(I415=0,"",X415/I415)</x:f>
        <x:v>0.21331339405358402</x:v>
      </x:c>
      <x:c r="Z415" s="18" t="n">
        <x:f>IF(E415=0,"",F415/E415)</x:f>
        <x:v>1160.1972596153846</x:v>
      </x:c>
      <x:c r="AA415" s="18" t="n">
        <x:f>IF(N415=0,"",M415/N415)</x:f>
        <x:v>155.70416666666665</x:v>
      </x:c>
      <x:c r="AB415" s="19" t="n">
        <x:f>IF(E415=0,"",O415/E415)</x:f>
        <x:v>0.1778846153846154</x:v>
      </x:c>
      <x:c r="AC415" s="19" t="n">
        <x:f>IF(E415=0,"",P415/E415)</x:f>
        <x:v>0.03365384615384615</x:v>
      </x:c>
      <x:c r="AD415" s="20" t="n">
        <x:f>IF(Q415=0,"",100*(R415-S415)/Q415)</x:f>
        <x:v>29.850746268656717</x:v>
      </x:c>
      <x:c r="AE415" s="19" t="n">
        <x:f>IF(F415=0,"",G415/F415)</x:f>
        <x:v>0.04388888113066648</x:v>
      </x:c>
      <x:c r="AF415" s="18" t="n">
        <x:f>ROUND(I415-(F415-G415-H415),2)</x:f>
        <x:v>0</x:v>
      </x:c>
    </x:row>
    <x:row r="416" ht="24" customHeight="1">
      <x:c r="A416" s="14" t="n">
        <x:v>45962</x:v>
      </x:c>
      <x:c r="B416" s="2" t="str">
        <x:v>E-commerce</x:v>
      </x:c>
      <x:c r="C416" s="2" t="str">
        <x:v>Sul</x:v>
      </x:c>
      <x:c r="D416" s="2" t="str">
        <x:v>M-0411</x:v>
      </x:c>
      <x:c r="E416" s="16" t="n">
        <x:v>156</x:v>
      </x:c>
      <x:c r="F416" s="17" t="n">
        <x:v>181131.86</x:v>
      </x:c>
      <x:c r="G416" s="17" t="n">
        <x:v>7949.68</x:v>
      </x:c>
      <x:c r="H416" s="17" t="n">
        <x:v>4890.56</x:v>
      </x:c>
      <x:c r="I416" s="17" t="n">
        <x:v>168291.62</x:v>
      </x:c>
      <x:c r="J416" s="17" t="n">
        <x:v>106342.81</x:v>
      </x:c>
      <x:c r="K416" s="17" t="n">
        <x:v>12453.58</x:v>
      </x:c>
      <x:c r="L416" s="17" t="n">
        <x:v>4039</x:v>
      </x:c>
      <x:c r="M416" s="17" t="n">
        <x:v>12621.87</x:v>
      </x:c>
      <x:c r="N416" s="16" t="n">
        <x:v>81</x:v>
      </x:c>
      <x:c r="O416" s="16" t="n">
        <x:v>27</x:v>
      </x:c>
      <x:c r="P416" s="16" t="n">
        <x:v>5</x:v>
      </x:c>
      <x:c r="Q416" s="16" t="n">
        <x:v>50</x:v>
      </x:c>
      <x:c r="R416" s="16" t="n">
        <x:v>27</x:v>
      </x:c>
      <x:c r="S416" s="16" t="n">
        <x:v>12</x:v>
      </x:c>
      <x:c r="T416" s="15" t="n">
        <x:f>YEAR(A416)</x:f>
        <x:v>2025</x:v>
      </x:c>
      <x:c r="U416" s="15" t="n">
        <x:f>ROUNDUP(MONTH(A416)/3,0)</x:f>
        <x:v>4</x:v>
      </x:c>
      <x:c r="V416" s="18" t="n">
        <x:f>I416-J416</x:f>
        <x:v>61948.81</x:v>
      </x:c>
      <x:c r="W416" s="19" t="n">
        <x:f>IF(I416=0,"",V416/I416)</x:f>
        <x:v>0.3681039495608872</x:v>
      </x:c>
      <x:c r="X416" s="18" t="n">
        <x:f>I416-J416-K416-L416-M416</x:f>
        <x:v>32834.35999999999</x:v>
      </x:c>
      <x:c r="Y416" s="19" t="n">
        <x:f>IF(I416=0,"",X416/I416)</x:f>
        <x:v>0.19510395110582449</x:v>
      </x:c>
      <x:c r="Z416" s="18" t="n">
        <x:f>IF(E416=0,"",F416/E416)</x:f>
        <x:v>1161.1016666666667</x:v>
      </x:c>
      <x:c r="AA416" s="18" t="n">
        <x:f>IF(N416=0,"",M416/N416)</x:f>
        <x:v>155.82555555555555</x:v>
      </x:c>
      <x:c r="AB416" s="19" t="n">
        <x:f>IF(E416=0,"",O416/E416)</x:f>
        <x:v>0.17307692307692307</x:v>
      </x:c>
      <x:c r="AC416" s="19" t="n">
        <x:f>IF(E416=0,"",P416/E416)</x:f>
        <x:v>0.03205128205128205</x:v>
      </x:c>
      <x:c r="AD416" s="20" t="n">
        <x:f>IF(Q416=0,"",100*(R416-S416)/Q416)</x:f>
        <x:v>30</x:v>
      </x:c>
      <x:c r="AE416" s="19" t="n">
        <x:f>IF(F416=0,"",G416/F416)</x:f>
        <x:v>0.04388891054284984</x:v>
      </x:c>
      <x:c r="AF416" s="18" t="n">
        <x:f>ROUND(I416-(F416-G416-H416),2)</x:f>
        <x:v>0</x:v>
      </x:c>
    </x:row>
    <x:row r="417" ht="24" customHeight="1">
      <x:c r="A417" s="14" t="n">
        <x:v>45962</x:v>
      </x:c>
      <x:c r="B417" s="2" t="str">
        <x:v>E-commerce</x:v>
      </x:c>
      <x:c r="C417" s="2" t="str">
        <x:v>Centro-Oeste</x:v>
      </x:c>
      <x:c r="D417" s="2" t="str">
        <x:v>M-0412</x:v>
      </x:c>
      <x:c r="E417" s="16" t="n">
        <x:v>109</x:v>
      </x:c>
      <x:c r="F417" s="17" t="n">
        <x:v>127147.5</x:v>
      </x:c>
      <x:c r="G417" s="17" t="n">
        <x:v>5580.36</x:v>
      </x:c>
      <x:c r="H417" s="17" t="n">
        <x:v>3432.98</x:v>
      </x:c>
      <x:c r="I417" s="17" t="n">
        <x:v>118134.16</x:v>
      </x:c>
      <x:c r="J417" s="17" t="n">
        <x:v>72113.55</x:v>
      </x:c>
      <x:c r="K417" s="17" t="n">
        <x:v>8741.93</x:v>
      </x:c>
      <x:c r="L417" s="17" t="n">
        <x:v>2835.22</x:v>
      </x:c>
      <x:c r="M417" s="17" t="n">
        <x:v>8860.06</x:v>
      </x:c>
      <x:c r="N417" s="16" t="n">
        <x:v>57</x:v>
      </x:c>
      <x:c r="O417" s="16" t="n">
        <x:v>19</x:v>
      </x:c>
      <x:c r="P417" s="16" t="n">
        <x:v>4</x:v>
      </x:c>
      <x:c r="Q417" s="16" t="n">
        <x:v>35</x:v>
      </x:c>
      <x:c r="R417" s="16" t="n">
        <x:v>19</x:v>
      </x:c>
      <x:c r="S417" s="16" t="n">
        <x:v>8</x:v>
      </x:c>
      <x:c r="T417" s="15" t="n">
        <x:f>YEAR(A417)</x:f>
        <x:v>2025</x:v>
      </x:c>
      <x:c r="U417" s="15" t="n">
        <x:f>ROUNDUP(MONTH(A417)/3,0)</x:f>
        <x:v>4</x:v>
      </x:c>
      <x:c r="V417" s="18" t="n">
        <x:f>I417-J417</x:f>
        <x:v>46020.61</x:v>
      </x:c>
      <x:c r="W417" s="19" t="n">
        <x:f>IF(I417=0,"",V417/I417)</x:f>
        <x:v>0.38956225701355135</x:v>
      </x:c>
      <x:c r="X417" s="18" t="n">
        <x:f>I417-J417-K417-L417-M417</x:f>
        <x:v>25583.4</x:v>
      </x:c>
      <x:c r="Y417" s="19" t="n">
        <x:f>IF(I417=0,"",X417/I417)</x:f>
        <x:v>0.21656225430476672</x:v>
      </x:c>
      <x:c r="Z417" s="18" t="n">
        <x:f>IF(E417=0,"",F417/E417)</x:f>
        <x:v>1166.4908256880733</x:v>
      </x:c>
      <x:c r="AA417" s="18" t="n">
        <x:f>IF(N417=0,"",M417/N417)</x:f>
        <x:v>155.439649122807</x:v>
      </x:c>
      <x:c r="AB417" s="19" t="n">
        <x:f>IF(E417=0,"",O417/E417)</x:f>
        <x:v>0.1743119266055046</x:v>
      </x:c>
      <x:c r="AC417" s="19" t="n">
        <x:f>IF(E417=0,"",P417/E417)</x:f>
        <x:v>0.03669724770642202</x:v>
      </x:c>
      <x:c r="AD417" s="20" t="n">
        <x:f>IF(Q417=0,"",100*(R417-S417)/Q417)</x:f>
        <x:v>31.428571428571427</x:v>
      </x:c>
      <x:c r="AE417" s="19" t="n">
        <x:f>IF(F417=0,"",G417/F417)</x:f>
        <x:v>0.04388886922668554</x:v>
      </x:c>
      <x:c r="AF417" s="18" t="n">
        <x:f>ROUND(I417-(F417-G417-H417),2)</x:f>
        <x:v>0</x:v>
      </x:c>
    </x:row>
    <x:row r="418" ht="24" customHeight="1">
      <x:c r="A418" s="14" t="n">
        <x:v>45962</x:v>
      </x:c>
      <x:c r="B418" s="2" t="str">
        <x:v>Lojas</x:v>
      </x:c>
      <x:c r="C418" s="2" t="str">
        <x:v>Sudeste</x:v>
      </x:c>
      <x:c r="D418" s="2" t="str">
        <x:v>M-0413</x:v>
      </x:c>
      <x:c r="E418" s="16" t="n">
        <x:v>235</x:v>
      </x:c>
      <x:c r="F418" s="17" t="n">
        <x:v>273610.7</x:v>
      </x:c>
      <x:c r="G418" s="17" t="n">
        <x:v>12008.47</x:v>
      </x:c>
      <x:c r="H418" s="17" t="n">
        <x:v>7387.49</x:v>
      </x:c>
      <x:c r="I418" s="17" t="n">
        <x:v>254214.74</x:v>
      </x:c>
      <x:c r="J418" s="17" t="n">
        <x:v>158790.18</x:v>
      </x:c>
      <x:c r="K418" s="17" t="n">
        <x:v>13473.38</x:v>
      </x:c>
      <x:c r="L418" s="17" t="n">
        <x:v>6101.15</x:v>
      </x:c>
      <x:c r="M418" s="17" t="n">
        <x:v>4575.87</x:v>
      </x:c>
      <x:c r="N418" s="16" t="n">
        <x:v>66</x:v>
      </x:c>
      <x:c r="O418" s="16" t="n">
        <x:v>41</x:v>
      </x:c>
      <x:c r="P418" s="16" t="n">
        <x:v>8</x:v>
      </x:c>
      <x:c r="Q418" s="16" t="n">
        <x:v>75</x:v>
      </x:c>
      <x:c r="R418" s="16" t="n">
        <x:v>40</x:v>
      </x:c>
      <x:c r="S418" s="16" t="n">
        <x:v>18</x:v>
      </x:c>
      <x:c r="T418" s="15" t="n">
        <x:f>YEAR(A418)</x:f>
        <x:v>2025</x:v>
      </x:c>
      <x:c r="U418" s="15" t="n">
        <x:f>ROUNDUP(MONTH(A418)/3,0)</x:f>
        <x:v>4</x:v>
      </x:c>
      <x:c r="V418" s="18" t="n">
        <x:f>I418-J418</x:f>
        <x:v>95424.56</x:v>
      </x:c>
      <x:c r="W418" s="19" t="n">
        <x:f>IF(I418=0,"",V418/I418)</x:f>
        <x:v>0.37536989397231646</x:v>
      </x:c>
      <x:c r="X418" s="18" t="n">
        <x:f>I418-J418-K418-L418-M418</x:f>
        <x:v>71274.16</x:v>
      </x:c>
      <x:c r="Y418" s="19" t="n">
        <x:f>IF(I418=0,"",X418/I418)</x:f>
        <x:v>0.28036989515242117</x:v>
      </x:c>
      <x:c r="Z418" s="18" t="n">
        <x:f>IF(E418=0,"",F418/E418)</x:f>
        <x:v>1164.30085106383</x:v>
      </x:c>
      <x:c r="AA418" s="18" t="n">
        <x:f>IF(N418=0,"",M418/N418)</x:f>
        <x:v>69.33136363636363</x:v>
      </x:c>
      <x:c r="AB418" s="19" t="n">
        <x:f>IF(E418=0,"",O418/E418)</x:f>
        <x:v>0.17446808510638298</x:v>
      </x:c>
      <x:c r="AC418" s="19" t="n">
        <x:f>IF(E418=0,"",P418/E418)</x:f>
        <x:v>0.03404255319148936</x:v>
      </x:c>
      <x:c r="AD418" s="20" t="n">
        <x:f>IF(Q418=0,"",100*(R418-S418)/Q418)</x:f>
        <x:v>29.333333333333332</x:v>
      </x:c>
      <x:c r="AE418" s="19" t="n">
        <x:f>IF(F418=0,"",G418/F418)</x:f>
        <x:v>0.043888890310210815</x:v>
      </x:c>
      <x:c r="AF418" s="18" t="n">
        <x:f>ROUND(I418-(F418-G418-H418),2)</x:f>
        <x:v>0</x:v>
      </x:c>
    </x:row>
    <x:row r="419" ht="24" customHeight="1">
      <x:c r="A419" s="14" t="n">
        <x:v>45962</x:v>
      </x:c>
      <x:c r="B419" s="2" t="str">
        <x:v>Lojas</x:v>
      </x:c>
      <x:c r="C419" s="2" t="str">
        <x:v>Nordeste</x:v>
      </x:c>
      <x:c r="D419" s="2" t="str">
        <x:v>M-0414</x:v>
      </x:c>
      <x:c r="E419" s="16" t="n">
        <x:v>169</x:v>
      </x:c>
      <x:c r="F419" s="17" t="n">
        <x:v>196308.96</x:v>
      </x:c>
      <x:c r="G419" s="17" t="n">
        <x:v>8615.78</x:v>
      </x:c>
      <x:c r="H419" s="17" t="n">
        <x:v>5300.34</x:v>
      </x:c>
      <x:c r="I419" s="17" t="n">
        <x:v>182392.84</x:v>
      </x:c>
      <x:c r="J419" s="17" t="n">
        <x:v>119186.78</x:v>
      </x:c>
      <x:c r="K419" s="17" t="n">
        <x:v>9666.82</x:v>
      </x:c>
      <x:c r="L419" s="17" t="n">
        <x:v>4377.43</x:v>
      </x:c>
      <x:c r="M419" s="17" t="n">
        <x:v>3283.07</x:v>
      </x:c>
      <x:c r="N419" s="16" t="n">
        <x:v>47</x:v>
      </x:c>
      <x:c r="O419" s="16" t="n">
        <x:v>30</x:v>
      </x:c>
      <x:c r="P419" s="16" t="n">
        <x:v>6</x:v>
      </x:c>
      <x:c r="Q419" s="16" t="n">
        <x:v>54</x:v>
      </x:c>
      <x:c r="R419" s="16" t="n">
        <x:v>29</x:v>
      </x:c>
      <x:c r="S419" s="16" t="n">
        <x:v>13</x:v>
      </x:c>
      <x:c r="T419" s="15" t="n">
        <x:f>YEAR(A419)</x:f>
        <x:v>2025</x:v>
      </x:c>
      <x:c r="U419" s="15" t="n">
        <x:f>ROUNDUP(MONTH(A419)/3,0)</x:f>
        <x:v>4</x:v>
      </x:c>
      <x:c r="V419" s="18" t="n">
        <x:f>I419-J419</x:f>
        <x:v>63206.06</x:v>
      </x:c>
      <x:c r="W419" s="19" t="n">
        <x:f>IF(I419=0,"",V419/I419)</x:f>
        <x:v>0.34653805489294426</x:v>
      </x:c>
      <x:c r="X419" s="18" t="n">
        <x:f>I419-J419-K419-L419-M419</x:f>
        <x:v>45878.74</x:v>
      </x:c>
      <x:c r="Y419" s="19" t="n">
        <x:f>IF(I419=0,"",X419/I419)</x:f>
        <x:v>0.25153805379641</x:v>
      </x:c>
      <x:c r="Z419" s="18" t="n">
        <x:f>IF(E419=0,"",F419/E419)</x:f>
        <x:v>1161.5914792899407</x:v>
      </x:c>
      <x:c r="AA419" s="18" t="n">
        <x:f>IF(N419=0,"",M419/N419)</x:f>
        <x:v>69.85255319148936</x:v>
      </x:c>
      <x:c r="AB419" s="19" t="n">
        <x:f>IF(E419=0,"",O419/E419)</x:f>
        <x:v>0.17751479289940827</x:v>
      </x:c>
      <x:c r="AC419" s="19" t="n">
        <x:f>IF(E419=0,"",P419/E419)</x:f>
        <x:v>0.03550295857988166</x:v>
      </x:c>
      <x:c r="AD419" s="20" t="n">
        <x:f>IF(Q419=0,"",100*(R419-S419)/Q419)</x:f>
        <x:v>29.62962962962963</x:v>
      </x:c>
      <x:c r="AE419" s="19" t="n">
        <x:f>IF(F419=0,"",G419/F419)</x:f>
        <x:v>0.043888878021665446</x:v>
      </x:c>
      <x:c r="AF419" s="18" t="n">
        <x:f>ROUND(I419-(F419-G419-H419),2)</x:f>
        <x:v>0</x:v>
      </x:c>
    </x:row>
    <x:row r="420" ht="24" customHeight="1">
      <x:c r="A420" s="14" t="n">
        <x:v>45962</x:v>
      </x:c>
      <x:c r="B420" s="2" t="str">
        <x:v>Lojas</x:v>
      </x:c>
      <x:c r="C420" s="2" t="str">
        <x:v>Sul</x:v>
      </x:c>
      <x:c r="D420" s="2" t="str">
        <x:v>M-0415</x:v>
      </x:c>
      <x:c r="E420" s="16" t="n">
        <x:v>118</x:v>
      </x:c>
      <x:c r="F420" s="17" t="n">
        <x:v>137693.61</x:v>
      </x:c>
      <x:c r="G420" s="17" t="n">
        <x:v>6043.22</x:v>
      </x:c>
      <x:c r="H420" s="17" t="n">
        <x:v>3717.73</x:v>
      </x:c>
      <x:c r="I420" s="17" t="n">
        <x:v>127932.66</x:v>
      </x:c>
      <x:c r="J420" s="17" t="n">
        <x:v>80024.61</x:v>
      </x:c>
      <x:c r="K420" s="17" t="n">
        <x:v>6780.43</x:v>
      </x:c>
      <x:c r="L420" s="17" t="n">
        <x:v>3070.38</x:v>
      </x:c>
      <x:c r="M420" s="17" t="n">
        <x:v>2302.79</x:v>
      </x:c>
      <x:c r="N420" s="16" t="n">
        <x:v>33</x:v>
      </x:c>
      <x:c r="O420" s="16" t="n">
        <x:v>21</x:v>
      </x:c>
      <x:c r="P420" s="16" t="n">
        <x:v>4</x:v>
      </x:c>
      <x:c r="Q420" s="16" t="n">
        <x:v>38</x:v>
      </x:c>
      <x:c r="R420" s="16" t="n">
        <x:v>20</x:v>
      </x:c>
      <x:c r="S420" s="16" t="n">
        <x:v>9</x:v>
      </x:c>
      <x:c r="T420" s="15" t="n">
        <x:f>YEAR(A420)</x:f>
        <x:v>2025</x:v>
      </x:c>
      <x:c r="U420" s="15" t="n">
        <x:f>ROUNDUP(MONTH(A420)/3,0)</x:f>
        <x:v>4</x:v>
      </x:c>
      <x:c r="V420" s="18" t="n">
        <x:f>I420-J420</x:f>
        <x:v>47908.05</x:v>
      </x:c>
      <x:c r="W420" s="19" t="n">
        <x:f>IF(I420=0,"",V420/I420)</x:f>
        <x:v>0.3744786515030642</x:v>
      </x:c>
      <x:c r="X420" s="18" t="n">
        <x:f>I420-J420-K420-L420-M420</x:f>
        <x:v>35754.450000000004</x:v>
      </x:c>
      <x:c r="Y420" s="19" t="n">
        <x:f>IF(I420=0,"",X420/I420)</x:f>
        <x:v>0.27947867260791737</x:v>
      </x:c>
      <x:c r="Z420" s="18" t="n">
        <x:f>IF(E420=0,"",F420/E420)</x:f>
        <x:v>1166.895</x:v>
      </x:c>
      <x:c r="AA420" s="18" t="n">
        <x:f>IF(N420=0,"",M420/N420)</x:f>
        <x:v>69.78151515151515</x:v>
      </x:c>
      <x:c r="AB420" s="19" t="n">
        <x:f>IF(E420=0,"",O420/E420)</x:f>
        <x:v>0.17796610169491525</x:v>
      </x:c>
      <x:c r="AC420" s="19" t="n">
        <x:f>IF(E420=0,"",P420/E420)</x:f>
        <x:v>0.03389830508474576</x:v>
      </x:c>
      <x:c r="AD420" s="20" t="n">
        <x:f>IF(Q420=0,"",100*(R420-S420)/Q420)</x:f>
        <x:v>28.94736842105263</x:v>
      </x:c>
      <x:c r="AE420" s="19" t="n">
        <x:f>IF(F420=0,"",G420/F420)</x:f>
        <x:v>0.04388889215701441</x:v>
      </x:c>
      <x:c r="AF420" s="18" t="n">
        <x:f>ROUND(I420-(F420-G420-H420),2)</x:f>
        <x:v>0</x:v>
      </x:c>
    </x:row>
    <x:row r="421" ht="24" customHeight="1">
      <x:c r="A421" s="14" t="n">
        <x:v>45962</x:v>
      </x:c>
      <x:c r="B421" s="2" t="str">
        <x:v>Lojas</x:v>
      </x:c>
      <x:c r="C421" s="2" t="str">
        <x:v>Centro-Oeste</x:v>
      </x:c>
      <x:c r="D421" s="2" t="str">
        <x:v>M-0416</x:v>
      </x:c>
      <x:c r="E421" s="16" t="n">
        <x:v>113</x:v>
      </x:c>
      <x:c r="F421" s="17" t="n">
        <x:v>131655.54</x:v>
      </x:c>
      <x:c r="G421" s="17" t="n">
        <x:v>5778.22</x:v>
      </x:c>
      <x:c r="H421" s="17" t="n">
        <x:v>3554.7</x:v>
      </x:c>
      <x:c r="I421" s="17" t="n">
        <x:v>122322.62</x:v>
      </x:c>
      <x:c r="J421" s="17" t="n">
        <x:v>77216.61</x:v>
      </x:c>
      <x:c r="K421" s="17" t="n">
        <x:v>6483.1</x:v>
      </x:c>
      <x:c r="L421" s="17" t="n">
        <x:v>2935.74</x:v>
      </x:c>
      <x:c r="M421" s="17" t="n">
        <x:v>2201.81</x:v>
      </x:c>
      <x:c r="N421" s="16" t="n">
        <x:v>32</x:v>
      </x:c>
      <x:c r="O421" s="16" t="n">
        <x:v>20</x:v>
      </x:c>
      <x:c r="P421" s="16" t="n">
        <x:v>4</x:v>
      </x:c>
      <x:c r="Q421" s="16" t="n">
        <x:v>36</x:v>
      </x:c>
      <x:c r="R421" s="16" t="n">
        <x:v>19</x:v>
      </x:c>
      <x:c r="S421" s="16" t="n">
        <x:v>8</x:v>
      </x:c>
      <x:c r="T421" s="15" t="n">
        <x:f>YEAR(A421)</x:f>
        <x:v>2025</x:v>
      </x:c>
      <x:c r="U421" s="15" t="n">
        <x:f>ROUNDUP(MONTH(A421)/3,0)</x:f>
        <x:v>4</x:v>
      </x:c>
      <x:c r="V421" s="18" t="n">
        <x:f>I421-J421</x:f>
        <x:v>45106.009999999995</x:v>
      </x:c>
      <x:c r="W421" s="19" t="n">
        <x:f>IF(I421=0,"",V421/I421)</x:f>
        <x:v>0.3687462711312102</x:v>
      </x:c>
      <x:c r="X421" s="18" t="n">
        <x:f>I421-J421-K421-L421-M421</x:f>
        <x:v>33485.36</x:v>
      </x:c>
      <x:c r="Y421" s="19" t="n">
        <x:f>IF(I421=0,"",X421/I421)</x:f>
        <x:v>0.2737462621385971</x:v>
      </x:c>
      <x:c r="Z421" s="18" t="n">
        <x:f>IF(E421=0,"",F421/E421)</x:f>
        <x:v>1165.0932743362832</x:v>
      </x:c>
      <x:c r="AA421" s="18" t="n">
        <x:f>IF(N421=0,"",M421/N421)</x:f>
        <x:v>68.8065625</x:v>
      </x:c>
      <x:c r="AB421" s="19" t="n">
        <x:f>IF(E421=0,"",O421/E421)</x:f>
        <x:v>0.17699115044247787</x:v>
      </x:c>
      <x:c r="AC421" s="19" t="n">
        <x:f>IF(E421=0,"",P421/E421)</x:f>
        <x:v>0.035398230088495575</x:v>
      </x:c>
      <x:c r="AD421" s="20" t="n">
        <x:f>IF(Q421=0,"",100*(R421-S421)/Q421)</x:f>
        <x:v>30.555555555555557</x:v>
      </x:c>
      <x:c r="AE421" s="19" t="n">
        <x:f>IF(F421=0,"",G421/F421)</x:f>
        <x:v>0.04388892408173632</x:v>
      </x:c>
      <x:c r="AF421" s="18" t="n">
        <x:f>ROUND(I421-(F421-G421-H421),2)</x:f>
        <x:v>0</x:v>
      </x:c>
    </x:row>
    <x:row r="422" ht="24" customHeight="1">
      <x:c r="A422" s="14" t="n">
        <x:v>45962</x:v>
      </x:c>
      <x:c r="B422" s="2" t="str">
        <x:v>B2B</x:v>
      </x:c>
      <x:c r="C422" s="2" t="str">
        <x:v>Sudeste</x:v>
      </x:c>
      <x:c r="D422" s="2" t="str">
        <x:v>M-0417</x:v>
      </x:c>
      <x:c r="E422" s="16" t="n">
        <x:v>161</x:v>
      </x:c>
      <x:c r="F422" s="17" t="n">
        <x:v>186741.85</x:v>
      </x:c>
      <x:c r="G422" s="17" t="n">
        <x:v>8195.89</x:v>
      </x:c>
      <x:c r="H422" s="17" t="n">
        <x:v>5042.03</x:v>
      </x:c>
      <x:c r="I422" s="17" t="n">
        <x:v>173503.93</x:v>
      </x:c>
      <x:c r="J422" s="17" t="n">
        <x:v>107367.16</x:v>
      </x:c>
      <x:c r="K422" s="17" t="n">
        <x:v>9195.71</x:v>
      </x:c>
      <x:c r="L422" s="17" t="n">
        <x:v>4164.09</x:v>
      </x:c>
      <x:c r="M422" s="17" t="n">
        <x:v>3123.07</x:v>
      </x:c>
      <x:c r="N422" s="16" t="n">
        <x:v>45</x:v>
      </x:c>
      <x:c r="O422" s="16" t="n">
        <x:v>28</x:v>
      </x:c>
      <x:c r="P422" s="16" t="n">
        <x:v>6</x:v>
      </x:c>
      <x:c r="Q422" s="16" t="n">
        <x:v>52</x:v>
      </x:c>
      <x:c r="R422" s="16" t="n">
        <x:v>28</x:v>
      </x:c>
      <x:c r="S422" s="16" t="n">
        <x:v>12</x:v>
      </x:c>
      <x:c r="T422" s="15" t="n">
        <x:f>YEAR(A422)</x:f>
        <x:v>2025</x:v>
      </x:c>
      <x:c r="U422" s="15" t="n">
        <x:f>ROUNDUP(MONTH(A422)/3,0)</x:f>
        <x:v>4</x:v>
      </x:c>
      <x:c r="V422" s="18" t="n">
        <x:f>I422-J422</x:f>
        <x:v>66136.76999999999</x:v>
      </x:c>
      <x:c r="W422" s="19" t="n">
        <x:f>IF(I422=0,"",V422/I422)</x:f>
        <x:v>0.381183123632992</x:v>
      </x:c>
      <x:c r="X422" s="18" t="n">
        <x:f>I422-J422-K422-L422-M422</x:f>
        <x:v>49653.89999999999</x:v>
      </x:c>
      <x:c r="Y422" s="19" t="n">
        <x:f>IF(I422=0,"",X422/I422)</x:f>
        <x:v>0.286183142940912</x:v>
      </x:c>
      <x:c r="Z422" s="18" t="n">
        <x:f>IF(E422=0,"",F422/E422)</x:f>
        <x:v>1159.8872670807455</x:v>
      </x:c>
      <x:c r="AA422" s="18" t="n">
        <x:f>IF(N422=0,"",M422/N422)</x:f>
        <x:v>69.40155555555556</x:v>
      </x:c>
      <x:c r="AB422" s="19" t="n">
        <x:f>IF(E422=0,"",O422/E422)</x:f>
        <x:v>0.17391304347826086</x:v>
      </x:c>
      <x:c r="AC422" s="19" t="n">
        <x:f>IF(E422=0,"",P422/E422)</x:f>
        <x:v>0.037267080745341616</x:v>
      </x:c>
      <x:c r="AD422" s="20" t="n">
        <x:f>IF(Q422=0,"",100*(R422-S422)/Q422)</x:f>
        <x:v>30.76923076923077</x:v>
      </x:c>
      <x:c r="AE422" s="19" t="n">
        <x:f>IF(F422=0,"",G422/F422)</x:f>
        <x:v>0.04388887654267107</x:v>
      </x:c>
      <x:c r="AF422" s="18" t="n">
        <x:f>ROUND(I422-(F422-G422-H422),2)</x:f>
        <x:v>0</x:v>
      </x:c>
    </x:row>
    <x:row r="423" ht="24" customHeight="1">
      <x:c r="A423" s="14" t="n">
        <x:v>45962</x:v>
      </x:c>
      <x:c r="B423" s="2" t="str">
        <x:v>B2B</x:v>
      </x:c>
      <x:c r="C423" s="2" t="str">
        <x:v>Nordeste</x:v>
      </x:c>
      <x:c r="D423" s="2" t="str">
        <x:v>M-0418</x:v>
      </x:c>
      <x:c r="E423" s="16" t="n">
        <x:v>104</x:v>
      </x:c>
      <x:c r="F423" s="17" t="n">
        <x:v>121246.4</x:v>
      </x:c>
      <x:c r="G423" s="17" t="n">
        <x:v>5321.37</x:v>
      </x:c>
      <x:c r="H423" s="17" t="n">
        <x:v>3273.65</x:v>
      </x:c>
      <x:c r="I423" s="17" t="n">
        <x:v>112651.38</x:v>
      </x:c>
      <x:c r="J423" s="17" t="n">
        <x:v>69003.18</x:v>
      </x:c>
      <x:c r="K423" s="17" t="n">
        <x:v>5970.52</x:v>
      </x:c>
      <x:c r="L423" s="17" t="n">
        <x:v>2703.63</x:v>
      </x:c>
      <x:c r="M423" s="17" t="n">
        <x:v>2027.72</x:v>
      </x:c>
      <x:c r="N423" s="16" t="n">
        <x:v>29</x:v>
      </x:c>
      <x:c r="O423" s="16" t="n">
        <x:v>18</x:v>
      </x:c>
      <x:c r="P423" s="16" t="n">
        <x:v>4</x:v>
      </x:c>
      <x:c r="Q423" s="16" t="n">
        <x:v>33</x:v>
      </x:c>
      <x:c r="R423" s="16" t="n">
        <x:v>18</x:v>
      </x:c>
      <x:c r="S423" s="16" t="n">
        <x:v>8</x:v>
      </x:c>
      <x:c r="T423" s="15" t="n">
        <x:f>YEAR(A423)</x:f>
        <x:v>2025</x:v>
      </x:c>
      <x:c r="U423" s="15" t="n">
        <x:f>ROUNDUP(MONTH(A423)/3,0)</x:f>
        <x:v>4</x:v>
      </x:c>
      <x:c r="V423" s="18" t="n">
        <x:f>I423-J423</x:f>
        <x:v>43648.20000000001</x:v>
      </x:c>
      <x:c r="W423" s="19" t="n">
        <x:f>IF(I423=0,"",V423/I423)</x:f>
        <x:v>0.387462630284689</x:v>
      </x:c>
      <x:c r="X423" s="18" t="n">
        <x:f>I423-J423-K423-L423-M423</x:f>
        <x:v>32946.33000000001</x:v>
      </x:c>
      <x:c r="Y423" s="19" t="n">
        <x:f>IF(I423=0,"",X423/I423)</x:f>
        <x:v>0.2924627288187682</x:v>
      </x:c>
      <x:c r="Z423" s="18" t="n">
        <x:f>IF(E423=0,"",F423/E423)</x:f>
        <x:v>1165.8307692307692</x:v>
      </x:c>
      <x:c r="AA423" s="18" t="n">
        <x:f>IF(N423=0,"",M423/N423)</x:f>
        <x:v>69.92137931034483</x:v>
      </x:c>
      <x:c r="AB423" s="19" t="n">
        <x:f>IF(E423=0,"",O423/E423)</x:f>
        <x:v>0.17307692307692307</x:v>
      </x:c>
      <x:c r="AC423" s="19" t="n">
        <x:f>IF(E423=0,"",P423/E423)</x:f>
        <x:v>0.038461538461538464</x:v>
      </x:c>
      <x:c r="AD423" s="20" t="n">
        <x:f>IF(Q423=0,"",100*(R423-S423)/Q423)</x:f>
        <x:v>30.303030303030305</x:v>
      </x:c>
      <x:c r="AE423" s="19" t="n">
        <x:f>IF(F423=0,"",G423/F423)</x:f>
        <x:v>0.043888890721703905</x:v>
      </x:c>
      <x:c r="AF423" s="18" t="n">
        <x:f>ROUND(I423-(F423-G423-H423),2)</x:f>
        <x:v>0</x:v>
      </x:c>
    </x:row>
    <x:row r="424" ht="24" customHeight="1">
      <x:c r="A424" s="14" t="n">
        <x:v>45962</x:v>
      </x:c>
      <x:c r="B424" s="2" t="str">
        <x:v>B2B</x:v>
      </x:c>
      <x:c r="C424" s="2" t="str">
        <x:v>Sul</x:v>
      </x:c>
      <x:c r="D424" s="2" t="str">
        <x:v>M-0419</x:v>
      </x:c>
      <x:c r="E424" s="16" t="n">
        <x:v>79</x:v>
      </x:c>
      <x:c r="F424" s="17" t="n">
        <x:v>91240.93</x:v>
      </x:c>
      <x:c r="G424" s="17" t="n">
        <x:v>4004.46</x:v>
      </x:c>
      <x:c r="H424" s="17" t="n">
        <x:v>2463.51</x:v>
      </x:c>
      <x:c r="I424" s="17" t="n">
        <x:v>84772.96</x:v>
      </x:c>
      <x:c r="J424" s="17" t="n">
        <x:v>52098.41</x:v>
      </x:c>
      <x:c r="K424" s="17" t="n">
        <x:v>4492.97</x:v>
      </x:c>
      <x:c r="L424" s="17" t="n">
        <x:v>2034.55</x:v>
      </x:c>
      <x:c r="M424" s="17" t="n">
        <x:v>1525.91</x:v>
      </x:c>
      <x:c r="N424" s="16" t="n">
        <x:v>22</x:v>
      </x:c>
      <x:c r="O424" s="16" t="n">
        <x:v>14</x:v>
      </x:c>
      <x:c r="P424" s="16" t="n">
        <x:v>3</x:v>
      </x:c>
      <x:c r="Q424" s="16" t="n">
        <x:v>25</x:v>
      </x:c>
      <x:c r="R424" s="16" t="n">
        <x:v>13</x:v>
      </x:c>
      <x:c r="S424" s="16" t="n">
        <x:v>6</x:v>
      </x:c>
      <x:c r="T424" s="15" t="n">
        <x:f>YEAR(A424)</x:f>
        <x:v>2025</x:v>
      </x:c>
      <x:c r="U424" s="15" t="n">
        <x:f>ROUNDUP(MONTH(A424)/3,0)</x:f>
        <x:v>4</x:v>
      </x:c>
      <x:c r="V424" s="18" t="n">
        <x:f>I424-J424</x:f>
        <x:v>32674.550000000003</x:v>
      </x:c>
      <x:c r="W424" s="19" t="n">
        <x:f>IF(I424=0,"",V424/I424)</x:f>
        <x:v>0.3854359927977034</x:v>
      </x:c>
      <x:c r="X424" s="18" t="n">
        <x:f>I424-J424-K424-L424-M424</x:f>
        <x:v>24621.120000000003</x:v>
      </x:c>
      <x:c r="Y424" s="19" t="n">
        <x:f>IF(I424=0,"",X424/I424)</x:f>
        <x:v>0.2904360069531605</x:v>
      </x:c>
      <x:c r="Z424" s="18" t="n">
        <x:f>IF(E424=0,"",F424/E424)</x:f>
        <x:v>1154.9484810126582</x:v>
      </x:c>
      <x:c r="AA424" s="18" t="n">
        <x:f>IF(N424=0,"",M424/N424)</x:f>
        <x:v>69.35954545454545</x:v>
      </x:c>
      <x:c r="AB424" s="19" t="n">
        <x:f>IF(E424=0,"",O424/E424)</x:f>
        <x:v>0.17721518987341772</x:v>
      </x:c>
      <x:c r="AC424" s="19" t="n">
        <x:f>IF(E424=0,"",P424/E424)</x:f>
        <x:v>0.0379746835443038</x:v>
      </x:c>
      <x:c r="AD424" s="20" t="n">
        <x:f>IF(Q424=0,"",100*(R424-S424)/Q424)</x:f>
        <x:v>28</x:v>
      </x:c>
      <x:c r="AE424" s="19" t="n">
        <x:f>IF(F424=0,"",G424/F424)</x:f>
        <x:v>0.04388885558268642</x:v>
      </x:c>
      <x:c r="AF424" s="18" t="n">
        <x:f>ROUND(I424-(F424-G424-H424),2)</x:f>
        <x:v>0</x:v>
      </x:c>
    </x:row>
    <x:row r="425" ht="24" customHeight="1">
      <x:c r="A425" s="14" t="n">
        <x:v>45962</x:v>
      </x:c>
      <x:c r="B425" s="2" t="str">
        <x:v>B2B</x:v>
      </x:c>
      <x:c r="C425" s="2" t="str">
        <x:v>Centro-Oeste</x:v>
      </x:c>
      <x:c r="D425" s="2" t="str">
        <x:v>M-0420</x:v>
      </x:c>
      <x:c r="E425" s="16" t="n">
        <x:v>65</x:v>
      </x:c>
      <x:c r="F425" s="17" t="n">
        <x:v>75074.37</x:v>
      </x:c>
      <x:c r="G425" s="17" t="n">
        <x:v>3294.93</x:v>
      </x:c>
      <x:c r="H425" s="17" t="n">
        <x:v>2027.01</x:v>
      </x:c>
      <x:c r="I425" s="17" t="n">
        <x:v>69752.43</x:v>
      </x:c>
      <x:c r="J425" s="17" t="n">
        <x:v>42270.98</x:v>
      </x:c>
      <x:c r="K425" s="17" t="n">
        <x:v>3696.88</x:v>
      </x:c>
      <x:c r="L425" s="17" t="n">
        <x:v>1674.06</x:v>
      </x:c>
      <x:c r="M425" s="17" t="n">
        <x:v>1255.54</x:v>
      </x:c>
      <x:c r="N425" s="16" t="n">
        <x:v>18</x:v>
      </x:c>
      <x:c r="O425" s="16" t="n">
        <x:v>11</x:v>
      </x:c>
      <x:c r="P425" s="16" t="n">
        <x:v>2</x:v>
      </x:c>
      <x:c r="Q425" s="16" t="n">
        <x:v>21</x:v>
      </x:c>
      <x:c r="R425" s="16" t="n">
        <x:v>11</x:v>
      </x:c>
      <x:c r="S425" s="16" t="n">
        <x:v>5</x:v>
      </x:c>
      <x:c r="T425" s="15" t="n">
        <x:f>YEAR(A425)</x:f>
        <x:v>2025</x:v>
      </x:c>
      <x:c r="U425" s="15" t="n">
        <x:f>ROUNDUP(MONTH(A425)/3,0)</x:f>
        <x:v>4</x:v>
      </x:c>
      <x:c r="V425" s="18" t="n">
        <x:f>I425-J425</x:f>
        <x:v>27481.44999999999</x:v>
      </x:c>
      <x:c r="W425" s="19" t="n">
        <x:f>IF(I425=0,"",V425/I425)</x:f>
        <x:v>0.3939855572056772</x:v>
      </x:c>
      <x:c r="X425" s="18" t="n">
        <x:f>I425-J425-K425-L425-M425</x:f>
        <x:v>20854.969999999987</x:v>
      </x:c>
      <x:c r="Y425" s="19" t="n">
        <x:f>IF(I425=0,"",X425/I425)</x:f>
        <x:v>0.2989855693916325</x:v>
      </x:c>
      <x:c r="Z425" s="18" t="n">
        <x:f>IF(E425=0,"",F425/E425)</x:f>
        <x:v>1154.9903076923076</x:v>
      </x:c>
      <x:c r="AA425" s="18" t="n">
        <x:f>IF(N425=0,"",M425/N425)</x:f>
        <x:v>69.75222222222222</x:v>
      </x:c>
      <x:c r="AB425" s="19" t="n">
        <x:f>IF(E425=0,"",O425/E425)</x:f>
        <x:v>0.16923076923076924</x:v>
      </x:c>
      <x:c r="AC425" s="19" t="n">
        <x:f>IF(E425=0,"",P425/E425)</x:f>
        <x:v>0.03076923076923077</x:v>
      </x:c>
      <x:c r="AD425" s="20" t="n">
        <x:f>IF(Q425=0,"",100*(R425-S425)/Q425)</x:f>
        <x:v>28.571428571428573</x:v>
      </x:c>
      <x:c r="AE425" s="19" t="n">
        <x:f>IF(F425=0,"",G425/F425)</x:f>
        <x:v>0.043888879786803406</x:v>
      </x:c>
      <x:c r="AF425" s="18" t="n">
        <x:f>ROUND(I425-(F425-G425-H425),2)</x:f>
        <x:v>0</x:v>
      </x:c>
    </x:row>
    <x:row r="426" ht="24" customHeight="1">
      <x:c r="A426" s="14" t="n">
        <x:v>45992</x:v>
      </x:c>
      <x:c r="B426" s="2" t="str">
        <x:v>E-commerce</x:v>
      </x:c>
      <x:c r="C426" s="2" t="str">
        <x:v>Sudeste</x:v>
      </x:c>
      <x:c r="D426" s="2" t="str">
        <x:v>M-0421</x:v>
      </x:c>
      <x:c r="E426" s="16" t="n">
        <x:v>267</x:v>
      </x:c>
      <x:c r="F426" s="17" t="n">
        <x:v>309974.92</x:v>
      </x:c>
      <x:c r="G426" s="17" t="n">
        <x:v>13776.66</x:v>
      </x:c>
      <x:c r="H426" s="17" t="n">
        <x:v>8524.31</x:v>
      </x:c>
      <x:c r="I426" s="17" t="n">
        <x:v>287673.95</x:v>
      </x:c>
      <x:c r="J426" s="17" t="n">
        <x:v>181177.37</x:v>
      </x:c>
      <x:c r="K426" s="17" t="n">
        <x:v>21575.55</x:v>
      </x:c>
      <x:c r="L426" s="17" t="n">
        <x:v>6904.17</x:v>
      </x:c>
      <x:c r="M426" s="17" t="n">
        <x:v>21575.55</x:v>
      </x:c>
      <x:c r="N426" s="16" t="n">
        <x:v>139</x:v>
      </x:c>
      <x:c r="O426" s="16" t="n">
        <x:v>75</x:v>
      </x:c>
      <x:c r="P426" s="16" t="n">
        <x:v>9</x:v>
      </x:c>
      <x:c r="Q426" s="16" t="n">
        <x:v>85</x:v>
      </x:c>
      <x:c r="R426" s="16" t="n">
        <x:v>45</x:v>
      </x:c>
      <x:c r="S426" s="16" t="n">
        <x:v>20</x:v>
      </x:c>
      <x:c r="T426" s="15" t="n">
        <x:f>YEAR(A426)</x:f>
        <x:v>2025</x:v>
      </x:c>
      <x:c r="U426" s="15" t="n">
        <x:f>ROUNDUP(MONTH(A426)/3,0)</x:f>
        <x:v>4</x:v>
      </x:c>
      <x:c r="V426" s="18" t="n">
        <x:f>I426-J426</x:f>
        <x:v>106496.58000000002</x:v>
      </x:c>
      <x:c r="W426" s="19" t="n">
        <x:f>IF(I426=0,"",V426/I426)</x:f>
        <x:v>0.3701989005260991</x:v>
      </x:c>
      <x:c r="X426" s="18" t="n">
        <x:f>I426-J426-K426-L426-M426</x:f>
        <x:v>56441.31000000001</x:v>
      </x:c>
      <x:c r="Y426" s="19" t="n">
        <x:f>IF(I426=0,"",X426/I426)</x:f>
        <x:v>0.19619889114047348</x:v>
      </x:c>
      <x:c r="Z426" s="18" t="n">
        <x:f>IF(E426=0,"",F426/E426)</x:f>
        <x:v>1160.954756554307</x:v>
      </x:c>
      <x:c r="AA426" s="18" t="n">
        <x:f>IF(N426=0,"",M426/N426)</x:f>
        <x:v>155.21978417266186</x:v>
      </x:c>
      <x:c r="AB426" s="19" t="n">
        <x:f>IF(E426=0,"",O426/E426)</x:f>
        <x:v>0.2808988764044944</x:v>
      </x:c>
      <x:c r="AC426" s="19" t="n">
        <x:f>IF(E426=0,"",P426/E426)</x:f>
        <x:v>0.033707865168539325</x:v>
      </x:c>
      <x:c r="AD426" s="20" t="n">
        <x:f>IF(Q426=0,"",100*(R426-S426)/Q426)</x:f>
        <x:v>29.41176470588235</x:v>
      </x:c>
      <x:c r="AE426" s="19" t="n">
        <x:f>IF(F426=0,"",G426/F426)</x:f>
        <x:v>0.044444434407790154</x:v>
      </x:c>
      <x:c r="AF426" s="18" t="n">
        <x:f>ROUND(I426-(F426-G426-H426),2)</x:f>
        <x:v>0</x:v>
      </x:c>
    </x:row>
    <x:row r="427" ht="24" customHeight="1">
      <x:c r="A427" s="14" t="n">
        <x:v>45992</x:v>
      </x:c>
      <x:c r="B427" s="2" t="str">
        <x:v>E-commerce</x:v>
      </x:c>
      <x:c r="C427" s="2" t="str">
        <x:v>Nordeste</x:v>
      </x:c>
      <x:c r="D427" s="2" t="str">
        <x:v>M-0422</x:v>
      </x:c>
      <x:c r="E427" s="16" t="n">
        <x:v>199</x:v>
      </x:c>
      <x:c r="F427" s="17" t="n">
        <x:v>231524.66</x:v>
      </x:c>
      <x:c r="G427" s="17" t="n">
        <x:v>10289.98</x:v>
      </x:c>
      <x:c r="H427" s="17" t="n">
        <x:v>6366.93</x:v>
      </x:c>
      <x:c r="I427" s="17" t="n">
        <x:v>214867.75</x:v>
      </x:c>
      <x:c r="J427" s="17" t="n">
        <x:v>130855.47</x:v>
      </x:c>
      <x:c r="K427" s="17" t="n">
        <x:v>16115.08</x:v>
      </x:c>
      <x:c r="L427" s="17" t="n">
        <x:v>5156.83</x:v>
      </x:c>
      <x:c r="M427" s="17" t="n">
        <x:v>16115.08</x:v>
      </x:c>
      <x:c r="N427" s="16" t="n">
        <x:v>103</x:v>
      </x:c>
      <x:c r="O427" s="16" t="n">
        <x:v>36</x:v>
      </x:c>
      <x:c r="P427" s="16" t="n">
        <x:v>7</x:v>
      </x:c>
      <x:c r="Q427" s="16" t="n">
        <x:v>64</x:v>
      </x:c>
      <x:c r="R427" s="16" t="n">
        <x:v>34</x:v>
      </x:c>
      <x:c r="S427" s="16" t="n">
        <x:v>15</x:v>
      </x:c>
      <x:c r="T427" s="15" t="n">
        <x:f>YEAR(A427)</x:f>
        <x:v>2025</x:v>
      </x:c>
      <x:c r="U427" s="15" t="n">
        <x:f>ROUNDUP(MONTH(A427)/3,0)</x:f>
        <x:v>4</x:v>
      </x:c>
      <x:c r="V427" s="18" t="n">
        <x:f>I427-J427</x:f>
        <x:v>84012.28</x:v>
      </x:c>
      <x:c r="W427" s="19" t="n">
        <x:f>IF(I427=0,"",V427/I427)</x:f>
        <x:v>0.39099529827068047</x:v>
      </x:c>
      <x:c r="X427" s="18" t="n">
        <x:f>I427-J427-K427-L427-M427</x:f>
        <x:v>46625.28999999999</x:v>
      </x:c>
      <x:c r="Y427" s="19" t="n">
        <x:f>IF(I427=0,"",X427/I427)</x:f>
        <x:v>0.2169952912896421</x:v>
      </x:c>
      <x:c r="Z427" s="18" t="n">
        <x:f>IF(E427=0,"",F427/E427)</x:f>
        <x:v>1163.440502512563</x:v>
      </x:c>
      <x:c r="AA427" s="18" t="n">
        <x:f>IF(N427=0,"",M427/N427)</x:f>
        <x:v>156.45708737864078</x:v>
      </x:c>
      <x:c r="AB427" s="19" t="n">
        <x:f>IF(E427=0,"",O427/E427)</x:f>
        <x:v>0.18090452261306533</x:v>
      </x:c>
      <x:c r="AC427" s="19" t="n">
        <x:f>IF(E427=0,"",P427/E427)</x:f>
        <x:v>0.035175879396984924</x:v>
      </x:c>
      <x:c r="AD427" s="20" t="n">
        <x:f>IF(Q427=0,"",100*(R427-S427)/Q427)</x:f>
        <x:v>29.6875</x:v>
      </x:c>
      <x:c r="AE427" s="19" t="n">
        <x:f>IF(F427=0,"",G427/F427)</x:f>
        <x:v>0.04444442332838325</x:v>
      </x:c>
      <x:c r="AF427" s="18" t="n">
        <x:f>ROUND(I427-(F427-G427-H427),2)</x:f>
        <x:v>0</x:v>
      </x:c>
    </x:row>
    <x:row r="428" ht="24" customHeight="1">
      <x:c r="A428" s="14" t="n">
        <x:v>45992</x:v>
      </x:c>
      <x:c r="B428" s="2" t="str">
        <x:v>E-commerce</x:v>
      </x:c>
      <x:c r="C428" s="2" t="str">
        <x:v>Sul</x:v>
      </x:c>
      <x:c r="D428" s="2" t="str">
        <x:v>M-0423</x:v>
      </x:c>
      <x:c r="E428" s="16" t="n">
        <x:v>161</x:v>
      </x:c>
      <x:c r="F428" s="17" t="n">
        <x:v>187273.15</x:v>
      </x:c>
      <x:c r="G428" s="17" t="n">
        <x:v>8323.25</x:v>
      </x:c>
      <x:c r="H428" s="17" t="n">
        <x:v>5150.01</x:v>
      </x:c>
      <x:c r="I428" s="17" t="n">
        <x:v>173799.89</x:v>
      </x:c>
      <x:c r="J428" s="17" t="n">
        <x:v>105966.32</x:v>
      </x:c>
      <x:c r="K428" s="17" t="n">
        <x:v>13034.99</x:v>
      </x:c>
      <x:c r="L428" s="17" t="n">
        <x:v>4171.2</x:v>
      </x:c>
      <x:c r="M428" s="17" t="n">
        <x:v>13034.99</x:v>
      </x:c>
      <x:c r="N428" s="16" t="n">
        <x:v>84</x:v>
      </x:c>
      <x:c r="O428" s="16" t="n">
        <x:v>29</x:v>
      </x:c>
      <x:c r="P428" s="16" t="n">
        <x:v>6</x:v>
      </x:c>
      <x:c r="Q428" s="16" t="n">
        <x:v>52</x:v>
      </x:c>
      <x:c r="R428" s="16" t="n">
        <x:v>28</x:v>
      </x:c>
      <x:c r="S428" s="16" t="n">
        <x:v>12</x:v>
      </x:c>
      <x:c r="T428" s="15" t="n">
        <x:f>YEAR(A428)</x:f>
        <x:v>2025</x:v>
      </x:c>
      <x:c r="U428" s="15" t="n">
        <x:f>ROUNDUP(MONTH(A428)/3,0)</x:f>
        <x:v>4</x:v>
      </x:c>
      <x:c r="V428" s="18" t="n">
        <x:f>I428-J428</x:f>
        <x:v>67833.57</x:v>
      </x:c>
      <x:c r="W428" s="19" t="n">
        <x:f>IF(I428=0,"",V428/I428)</x:f>
        <x:v>0.39029696739163644</x:v>
      </x:c>
      <x:c r="X428" s="18" t="n">
        <x:f>I428-J428-K428-L428-M428</x:f>
        <x:v>37592.390000000014</x:v>
      </x:c>
      <x:c r="Y428" s="19" t="n">
        <x:f>IF(I428=0,"",X428/I428)</x:f>
        <x:v>0.21629697233985598</x:v>
      </x:c>
      <x:c r="Z428" s="18" t="n">
        <x:f>IF(E428=0,"",F428/E428)</x:f>
        <x:v>1163.1872670807454</x:v>
      </x:c>
      <x:c r="AA428" s="18" t="n">
        <x:f>IF(N428=0,"",M428/N428)</x:f>
        <x:v>155.17845238095236</x:v>
      </x:c>
      <x:c r="AB428" s="19" t="n">
        <x:f>IF(E428=0,"",O428/E428)</x:f>
        <x:v>0.18012422360248448</x:v>
      </x:c>
      <x:c r="AC428" s="19" t="n">
        <x:f>IF(E428=0,"",P428/E428)</x:f>
        <x:v>0.037267080745341616</x:v>
      </x:c>
      <x:c r="AD428" s="20" t="n">
        <x:f>IF(Q428=0,"",100*(R428-S428)/Q428)</x:f>
        <x:v>30.76923076923077</x:v>
      </x:c>
      <x:c r="AE428" s="19" t="n">
        <x:f>IF(F428=0,"",G428/F428)</x:f>
        <x:v>0.04444443851134026</x:v>
      </x:c>
      <x:c r="AF428" s="18" t="n">
        <x:f>ROUND(I428-(F428-G428-H428),2)</x:f>
        <x:v>0</x:v>
      </x:c>
    </x:row>
    <x:row r="429" ht="24" customHeight="1">
      <x:c r="A429" s="14" t="n">
        <x:v>45992</x:v>
      </x:c>
      <x:c r="B429" s="2" t="str">
        <x:v>E-commerce</x:v>
      </x:c>
      <x:c r="C429" s="2" t="str">
        <x:v>Centro-Oeste</x:v>
      </x:c>
      <x:c r="D429" s="2" t="str">
        <x:v>M-0424</x:v>
      </x:c>
      <x:c r="E429" s="16" t="n">
        <x:v>112</x:v>
      </x:c>
      <x:c r="F429" s="17" t="n">
        <x:v>130043.37</x:v>
      </x:c>
      <x:c r="G429" s="17" t="n">
        <x:v>5779.71</x:v>
      </x:c>
      <x:c r="H429" s="17" t="n">
        <x:v>3576.19</x:v>
      </x:c>
      <x:c r="I429" s="17" t="n">
        <x:v>120687.47</x:v>
      </x:c>
      <x:c r="J429" s="17" t="n">
        <x:v>77666.85</x:v>
      </x:c>
      <x:c r="K429" s="17" t="n">
        <x:v>9051.56</x:v>
      </x:c>
      <x:c r="L429" s="17" t="n">
        <x:v>2896.5</x:v>
      </x:c>
      <x:c r="M429" s="17" t="n">
        <x:v>9051.56</x:v>
      </x:c>
      <x:c r="N429" s="16" t="n">
        <x:v>58</x:v>
      </x:c>
      <x:c r="O429" s="16" t="n">
        <x:v>20</x:v>
      </x:c>
      <x:c r="P429" s="16" t="n">
        <x:v>4</x:v>
      </x:c>
      <x:c r="Q429" s="16" t="n">
        <x:v>36</x:v>
      </x:c>
      <x:c r="R429" s="16" t="n">
        <x:v>19</x:v>
      </x:c>
      <x:c r="S429" s="16" t="n">
        <x:v>9</x:v>
      </x:c>
      <x:c r="T429" s="15" t="n">
        <x:f>YEAR(A429)</x:f>
        <x:v>2025</x:v>
      </x:c>
      <x:c r="U429" s="15" t="n">
        <x:f>ROUNDUP(MONTH(A429)/3,0)</x:f>
        <x:v>4</x:v>
      </x:c>
      <x:c r="V429" s="18" t="n">
        <x:f>I429-J429</x:f>
        <x:v>43020.619999999995</x:v>
      </x:c>
      <x:c r="W429" s="19" t="n">
        <x:f>IF(I429=0,"",V429/I429)</x:f>
        <x:v>0.3564630197318744</x:v>
      </x:c>
      <x:c r="X429" s="18" t="n">
        <x:f>I429-J429-K429-L429-M429</x:f>
        <x:v>22021</x:v>
      </x:c>
      <x:c r="Y429" s="19" t="n">
        <x:f>IF(I429=0,"",X429/I429)</x:f>
        <x:v>0.18246301790898425</x:v>
      </x:c>
      <x:c r="Z429" s="18" t="n">
        <x:f>IF(E429=0,"",F429/E429)</x:f>
        <x:v>1161.1015178571429</x:v>
      </x:c>
      <x:c r="AA429" s="18" t="n">
        <x:f>IF(N429=0,"",M429/N429)</x:f>
        <x:v>156.06137931034482</x:v>
      </x:c>
      <x:c r="AB429" s="19" t="n">
        <x:f>IF(E429=0,"",O429/E429)</x:f>
        <x:v>0.17857142857142858</x:v>
      </x:c>
      <x:c r="AC429" s="19" t="n">
        <x:f>IF(E429=0,"",P429/E429)</x:f>
        <x:v>0.03571428571428571</x:v>
      </x:c>
      <x:c r="AD429" s="20" t="n">
        <x:f>IF(Q429=0,"",100*(R429-S429)/Q429)</x:f>
        <x:v>27.77777777777778</x:v>
      </x:c>
      <x:c r="AE429" s="19" t="n">
        <x:f>IF(F429=0,"",G429/F429)</x:f>
        <x:v>0.0444444803299084</x:v>
      </x:c>
      <x:c r="AF429" s="18" t="n">
        <x:f>ROUND(I429-(F429-G429-H429),2)</x:f>
        <x:v>0</x:v>
      </x:c>
    </x:row>
    <x:row r="430" ht="24" customHeight="1">
      <x:c r="A430" s="14" t="n">
        <x:v>45992</x:v>
      </x:c>
      <x:c r="B430" s="2" t="str">
        <x:v>Lojas</x:v>
      </x:c>
      <x:c r="C430" s="2" t="str">
        <x:v>Sudeste</x:v>
      </x:c>
      <x:c r="D430" s="2" t="str">
        <x:v>M-0425</x:v>
      </x:c>
      <x:c r="E430" s="16" t="n">
        <x:v>238</x:v>
      </x:c>
      <x:c r="F430" s="17" t="n">
        <x:v>276254.95</x:v>
      </x:c>
      <x:c r="G430" s="17" t="n">
        <x:v>12278</x:v>
      </x:c>
      <x:c r="H430" s="17" t="n">
        <x:v>7597.01</x:v>
      </x:c>
      <x:c r="I430" s="17" t="n">
        <x:v>256379.94</x:v>
      </x:c>
      <x:c r="J430" s="17" t="n">
        <x:v>159272.4</x:v>
      </x:c>
      <x:c r="K430" s="17" t="n">
        <x:v>13844.52</x:v>
      </x:c>
      <x:c r="L430" s="17" t="n">
        <x:v>6153.12</x:v>
      </x:c>
      <x:c r="M430" s="17" t="n">
        <x:v>4614.84</x:v>
      </x:c>
      <x:c r="N430" s="16" t="n">
        <x:v>67</x:v>
      </x:c>
      <x:c r="O430" s="16" t="n">
        <x:v>43</x:v>
      </x:c>
      <x:c r="P430" s="16" t="n">
        <x:v>8</x:v>
      </x:c>
      <x:c r="Q430" s="16" t="n">
        <x:v>76</x:v>
      </x:c>
      <x:c r="R430" s="16" t="n">
        <x:v>40</x:v>
      </x:c>
      <x:c r="S430" s="16" t="n">
        <x:v>18</x:v>
      </x:c>
      <x:c r="T430" s="15" t="n">
        <x:f>YEAR(A430)</x:f>
        <x:v>2025</x:v>
      </x:c>
      <x:c r="U430" s="15" t="n">
        <x:f>ROUNDUP(MONTH(A430)/3,0)</x:f>
        <x:v>4</x:v>
      </x:c>
      <x:c r="V430" s="18" t="n">
        <x:f>I430-J430</x:f>
        <x:v>97107.54000000001</x:v>
      </x:c>
      <x:c r="W430" s="19" t="n">
        <x:f>IF(I430=0,"",V430/I430)</x:f>
        <x:v>0.3787641888050992</x:v>
      </x:c>
      <x:c r="X430" s="18" t="n">
        <x:f>I430-J430-K430-L430-M430</x:f>
        <x:v>72495.06000000001</x:v>
      </x:c>
      <x:c r="Y430" s="19" t="n">
        <x:f>IF(I430=0,"",X430/I430)</x:f>
        <x:v>0.2827641663384429</x:v>
      </x:c>
      <x:c r="Z430" s="18" t="n">
        <x:f>IF(E430=0,"",F430/E430)</x:f>
        <x:v>1160.7350840336135</x:v>
      </x:c>
      <x:c r="AA430" s="18" t="n">
        <x:f>IF(N430=0,"",M430/N430)</x:f>
        <x:v>68.87820895522388</x:v>
      </x:c>
      <x:c r="AB430" s="19" t="n">
        <x:f>IF(E430=0,"",O430/E430)</x:f>
        <x:v>0.18067226890756302</x:v>
      </x:c>
      <x:c r="AC430" s="19" t="n">
        <x:f>IF(E430=0,"",P430/E430)</x:f>
        <x:v>0.03361344537815126</x:v>
      </x:c>
      <x:c r="AD430" s="20" t="n">
        <x:f>IF(Q430=0,"",100*(R430-S430)/Q430)</x:f>
        <x:v>28.94736842105263</x:v>
      </x:c>
      <x:c r="AE430" s="19" t="n">
        <x:f>IF(F430=0,"",G430/F430)</x:f>
        <x:v>0.044444452488543645</x:v>
      </x:c>
      <x:c r="AF430" s="18" t="n">
        <x:f>ROUND(I430-(F430-G430-H430),2)</x:f>
        <x:v>0</x:v>
      </x:c>
    </x:row>
    <x:row r="431" ht="24" customHeight="1">
      <x:c r="A431" s="14" t="n">
        <x:v>45992</x:v>
      </x:c>
      <x:c r="B431" s="2" t="str">
        <x:v>Lojas</x:v>
      </x:c>
      <x:c r="C431" s="2" t="str">
        <x:v>Nordeste</x:v>
      </x:c>
      <x:c r="D431" s="2" t="str">
        <x:v>M-0426</x:v>
      </x:c>
      <x:c r="E431" s="16" t="n">
        <x:v>159</x:v>
      </x:c>
      <x:c r="F431" s="17" t="n">
        <x:v>185230.63</x:v>
      </x:c>
      <x:c r="G431" s="17" t="n">
        <x:v>8232.47</x:v>
      </x:c>
      <x:c r="H431" s="17" t="n">
        <x:v>5093.84</x:v>
      </x:c>
      <x:c r="I431" s="17" t="n">
        <x:v>171904.32</x:v>
      </x:c>
      <x:c r="J431" s="17" t="n">
        <x:v>112889.93</x:v>
      </x:c>
      <x:c r="K431" s="17" t="n">
        <x:v>9282.83</x:v>
      </x:c>
      <x:c r="L431" s="17" t="n">
        <x:v>4125.7</x:v>
      </x:c>
      <x:c r="M431" s="17" t="n">
        <x:v>3094.28</x:v>
      </x:c>
      <x:c r="N431" s="16" t="n">
        <x:v>45</x:v>
      </x:c>
      <x:c r="O431" s="16" t="n">
        <x:v>29</x:v>
      </x:c>
      <x:c r="P431" s="16" t="n">
        <x:v>6</x:v>
      </x:c>
      <x:c r="Q431" s="16" t="n">
        <x:v>51</x:v>
      </x:c>
      <x:c r="R431" s="16" t="n">
        <x:v>27</x:v>
      </x:c>
      <x:c r="S431" s="16" t="n">
        <x:v>12</x:v>
      </x:c>
      <x:c r="T431" s="15" t="n">
        <x:f>YEAR(A431)</x:f>
        <x:v>2025</x:v>
      </x:c>
      <x:c r="U431" s="15" t="n">
        <x:f>ROUNDUP(MONTH(A431)/3,0)</x:f>
        <x:v>4</x:v>
      </x:c>
      <x:c r="V431" s="18" t="n">
        <x:f>I431-J431</x:f>
        <x:v>59014.390000000014</x:v>
      </x:c>
      <x:c r="W431" s="19" t="n">
        <x:f>IF(I431=0,"",V431/I431)</x:f>
        <x:v>0.34329788803446015</x:v>
      </x:c>
      <x:c r="X431" s="18" t="n">
        <x:f>I431-J431-K431-L431-M431</x:f>
        <x:v>42511.580000000016</x:v>
      </x:c>
      <x:c r="Y431" s="19" t="n">
        <x:f>IF(I431=0,"",X431/I431)</x:f>
        <x:v>0.24729791549159447</x:v>
      </x:c>
      <x:c r="Z431" s="18" t="n">
        <x:f>IF(E431=0,"",F431/E431)</x:f>
        <x:v>1164.9725157232704</x:v>
      </x:c>
      <x:c r="AA431" s="18" t="n">
        <x:f>IF(N431=0,"",M431/N431)</x:f>
        <x:v>68.76177777777778</x:v>
      </x:c>
      <x:c r="AB431" s="19" t="n">
        <x:f>IF(E431=0,"",O431/E431)</x:f>
        <x:v>0.18238993710691823</x:v>
      </x:c>
      <x:c r="AC431" s="19" t="n">
        <x:f>IF(E431=0,"",P431/E431)</x:f>
        <x:v>0.03773584905660377</x:v>
      </x:c>
      <x:c r="AD431" s="20" t="n">
        <x:f>IF(Q431=0,"",100*(R431-S431)/Q431)</x:f>
        <x:v>29.41176470588235</x:v>
      </x:c>
      <x:c r="AE431" s="19" t="n">
        <x:f>IF(F431=0,"",G431/F431)</x:f>
        <x:v>0.04444443124768295</x:v>
      </x:c>
      <x:c r="AF431" s="18" t="n">
        <x:f>ROUND(I431-(F431-G431-H431),2)</x:f>
        <x:v>0</x:v>
      </x:c>
    </x:row>
    <x:row r="432" ht="24" customHeight="1">
      <x:c r="A432" s="14" t="n">
        <x:v>45992</x:v>
      </x:c>
      <x:c r="B432" s="2" t="str">
        <x:v>Lojas</x:v>
      </x:c>
      <x:c r="C432" s="2" t="str">
        <x:v>Sul</x:v>
      </x:c>
      <x:c r="D432" s="2" t="str">
        <x:v>M-0427</x:v>
      </x:c>
      <x:c r="E432" s="16" t="n">
        <x:v>139</x:v>
      </x:c>
      <x:c r="F432" s="17" t="n">
        <x:v>161570.9</x:v>
      </x:c>
      <x:c r="G432" s="17" t="n">
        <x:v>7180.93</x:v>
      </x:c>
      <x:c r="H432" s="17" t="n">
        <x:v>4443.2</x:v>
      </x:c>
      <x:c r="I432" s="17" t="n">
        <x:v>149946.77</x:v>
      </x:c>
      <x:c r="J432" s="17" t="n">
        <x:v>93250.92</x:v>
      </x:c>
      <x:c r="K432" s="17" t="n">
        <x:v>8097.13</x:v>
      </x:c>
      <x:c r="L432" s="17" t="n">
        <x:v>3598.72</x:v>
      </x:c>
      <x:c r="M432" s="17" t="n">
        <x:v>2699.04</x:v>
      </x:c>
      <x:c r="N432" s="16" t="n">
        <x:v>39</x:v>
      </x:c>
      <x:c r="O432" s="16" t="n">
        <x:v>25</x:v>
      </x:c>
      <x:c r="P432" s="16" t="n">
        <x:v>5</x:v>
      </x:c>
      <x:c r="Q432" s="16" t="n">
        <x:v>44</x:v>
      </x:c>
      <x:c r="R432" s="16" t="n">
        <x:v>23</x:v>
      </x:c>
      <x:c r="S432" s="16" t="n">
        <x:v>11</x:v>
      </x:c>
      <x:c r="T432" s="15" t="n">
        <x:f>YEAR(A432)</x:f>
        <x:v>2025</x:v>
      </x:c>
      <x:c r="U432" s="15" t="n">
        <x:f>ROUNDUP(MONTH(A432)/3,0)</x:f>
        <x:v>4</x:v>
      </x:c>
      <x:c r="V432" s="18" t="n">
        <x:f>I432-J432</x:f>
        <x:v>56695.84999999999</x:v>
      </x:c>
      <x:c r="W432" s="19" t="n">
        <x:f>IF(I432=0,"",V432/I432)</x:f>
        <x:v>0.37810651073044116</x:v>
      </x:c>
      <x:c r="X432" s="18" t="n">
        <x:f>I432-J432-K432-L432-M432</x:f>
        <x:v>42300.95999999999</x:v>
      </x:c>
      <x:c r="Y432" s="19" t="n">
        <x:f>IF(I432=0,"",X432/I432)</x:f>
        <x:v>0.2821065101969185</x:v>
      </x:c>
      <x:c r="Z432" s="18" t="n">
        <x:f>IF(E432=0,"",F432/E432)</x:f>
        <x:v>1162.3805755395683</x:v>
      </x:c>
      <x:c r="AA432" s="18" t="n">
        <x:f>IF(N432=0,"",M432/N432)</x:f>
        <x:v>69.20615384615384</x:v>
      </x:c>
      <x:c r="AB432" s="19" t="n">
        <x:f>IF(E432=0,"",O432/E432)</x:f>
        <x:v>0.17985611510791366</x:v>
      </x:c>
      <x:c r="AC432" s="19" t="n">
        <x:f>IF(E432=0,"",P432/E432)</x:f>
        <x:v>0.03597122302158273</x:v>
      </x:c>
      <x:c r="AD432" s="20" t="n">
        <x:f>IF(Q432=0,"",100*(R432-S432)/Q432)</x:f>
        <x:v>27.272727272727273</x:v>
      </x:c>
      <x:c r="AE432" s="19" t="n">
        <x:f>IF(F432=0,"",G432/F432)</x:f>
        <x:v>0.04444445132137037</x:v>
      </x:c>
      <x:c r="AF432" s="18" t="n">
        <x:f>ROUND(I432-(F432-G432-H432),2)</x:f>
        <x:v>0</x:v>
      </x:c>
    </x:row>
    <x:row r="433" ht="24" customHeight="1">
      <x:c r="A433" s="14" t="n">
        <x:v>45992</x:v>
      </x:c>
      <x:c r="B433" s="2" t="str">
        <x:v>Lojas</x:v>
      </x:c>
      <x:c r="C433" s="2" t="str">
        <x:v>Centro-Oeste</x:v>
      </x:c>
      <x:c r="D433" s="2" t="str">
        <x:v>M-0428</x:v>
      </x:c>
      <x:c r="E433" s="16" t="n">
        <x:v>111</x:v>
      </x:c>
      <x:c r="F433" s="17" t="n">
        <x:v>129201.73</x:v>
      </x:c>
      <x:c r="G433" s="17" t="n">
        <x:v>5742.3</x:v>
      </x:c>
      <x:c r="H433" s="17" t="n">
        <x:v>3553.05</x:v>
      </x:c>
      <x:c r="I433" s="17" t="n">
        <x:v>119906.38</x:v>
      </x:c>
      <x:c r="J433" s="17" t="n">
        <x:v>73170.22</x:v>
      </x:c>
      <x:c r="K433" s="17" t="n">
        <x:v>6474.94</x:v>
      </x:c>
      <x:c r="L433" s="17" t="n">
        <x:v>2877.75</x:v>
      </x:c>
      <x:c r="M433" s="17" t="n">
        <x:v>2158.31</x:v>
      </x:c>
      <x:c r="N433" s="16" t="n">
        <x:v>31</x:v>
      </x:c>
      <x:c r="O433" s="16" t="n">
        <x:v>20</x:v>
      </x:c>
      <x:c r="P433" s="16" t="n">
        <x:v>4</x:v>
      </x:c>
      <x:c r="Q433" s="16" t="n">
        <x:v>36</x:v>
      </x:c>
      <x:c r="R433" s="16" t="n">
        <x:v>19</x:v>
      </x:c>
      <x:c r="S433" s="16" t="n">
        <x:v>9</x:v>
      </x:c>
      <x:c r="T433" s="15" t="n">
        <x:f>YEAR(A433)</x:f>
        <x:v>2025</x:v>
      </x:c>
      <x:c r="U433" s="15" t="n">
        <x:f>ROUNDUP(MONTH(A433)/3,0)</x:f>
        <x:v>4</x:v>
      </x:c>
      <x:c r="V433" s="18" t="n">
        <x:f>I433-J433</x:f>
        <x:v>46736.16</x:v>
      </x:c>
      <x:c r="W433" s="19" t="n">
        <x:f>IF(I433=0,"",V433/I433)</x:f>
        <x:v>0.38977208719002276</x:v>
      </x:c>
      <x:c r="X433" s="18" t="n">
        <x:f>I433-J433-K433-L433-M433</x:f>
        <x:v>35225.16</x:v>
      </x:c>
      <x:c r="Y433" s="19" t="n">
        <x:f>IF(I433=0,"",X433/I433)</x:f>
        <x:v>0.29377219127122345</x:v>
      </x:c>
      <x:c r="Z433" s="18" t="n">
        <x:f>IF(E433=0,"",F433/E433)</x:f>
        <x:v>1163.9795495495496</x:v>
      </x:c>
      <x:c r="AA433" s="18" t="n">
        <x:f>IF(N433=0,"",M433/N433)</x:f>
        <x:v>69.62290322580645</x:v>
      </x:c>
      <x:c r="AB433" s="19" t="n">
        <x:f>IF(E433=0,"",O433/E433)</x:f>
        <x:v>0.18018018018018017</x:v>
      </x:c>
      <x:c r="AC433" s="19" t="n">
        <x:f>IF(E433=0,"",P433/E433)</x:f>
        <x:v>0.036036036036036036</x:v>
      </x:c>
      <x:c r="AD433" s="20" t="n">
        <x:f>IF(Q433=0,"",100*(R433-S433)/Q433)</x:f>
        <x:v>27.77777777777778</x:v>
      </x:c>
      <x:c r="AE433" s="19" t="n">
        <x:f>IF(F433=0,"",G433/F433)</x:f>
        <x:v>0.044444451324297286</x:v>
      </x:c>
      <x:c r="AF433" s="18" t="n">
        <x:f>ROUND(I433-(F433-G433-H433),2)</x:f>
        <x:v>0</x:v>
      </x:c>
    </x:row>
    <x:row r="434" ht="24" customHeight="1">
      <x:c r="A434" s="14" t="n">
        <x:v>45992</x:v>
      </x:c>
      <x:c r="B434" s="2" t="str">
        <x:v>B2B</x:v>
      </x:c>
      <x:c r="C434" s="2" t="str">
        <x:v>Sudeste</x:v>
      </x:c>
      <x:c r="D434" s="2" t="str">
        <x:v>M-0429</x:v>
      </x:c>
      <x:c r="E434" s="16" t="n">
        <x:v>137</x:v>
      </x:c>
      <x:c r="F434" s="17" t="n">
        <x:v>158689.25</x:v>
      </x:c>
      <x:c r="G434" s="17" t="n">
        <x:v>7052.86</x:v>
      </x:c>
      <x:c r="H434" s="17" t="n">
        <x:v>4363.95</x:v>
      </x:c>
      <x:c r="I434" s="17" t="n">
        <x:v>147272.44</x:v>
      </x:c>
      <x:c r="J434" s="17" t="n">
        <x:v>94674.45</x:v>
      </x:c>
      <x:c r="K434" s="17" t="n">
        <x:v>7952.71</x:v>
      </x:c>
      <x:c r="L434" s="17" t="n">
        <x:v>3534.54</x:v>
      </x:c>
      <x:c r="M434" s="17" t="n">
        <x:v>2650.9</x:v>
      </x:c>
      <x:c r="N434" s="16" t="n">
        <x:v>38</x:v>
      </x:c>
      <x:c r="O434" s="16" t="n">
        <x:v>25</x:v>
      </x:c>
      <x:c r="P434" s="16" t="n">
        <x:v>5</x:v>
      </x:c>
      <x:c r="Q434" s="16" t="n">
        <x:v>44</x:v>
      </x:c>
      <x:c r="R434" s="16" t="n">
        <x:v>23</x:v>
      </x:c>
      <x:c r="S434" s="16" t="n">
        <x:v>11</x:v>
      </x:c>
      <x:c r="T434" s="15" t="n">
        <x:f>YEAR(A434)</x:f>
        <x:v>2025</x:v>
      </x:c>
      <x:c r="U434" s="15" t="n">
        <x:f>ROUNDUP(MONTH(A434)/3,0)</x:f>
        <x:v>4</x:v>
      </x:c>
      <x:c r="V434" s="18" t="n">
        <x:f>I434-J434</x:f>
        <x:v>52597.990000000005</x:v>
      </x:c>
      <x:c r="W434" s="19" t="n">
        <x:f>IF(I434=0,"",V434/I434)</x:f>
        <x:v>0.3571475423371814</x:v>
      </x:c>
      <x:c r="X434" s="18" t="n">
        <x:f>I434-J434-K434-L434-M434</x:f>
        <x:v>38459.840000000004</x:v>
      </x:c>
      <x:c r="Y434" s="19" t="n">
        <x:f>IF(I434=0,"",X434/I434)</x:f>
        <x:v>0.261147571127361</x:v>
      </x:c>
      <x:c r="Z434" s="18" t="n">
        <x:f>IF(E434=0,"",F434/E434)</x:f>
        <x:v>1158.315693430657</x:v>
      </x:c>
      <x:c r="AA434" s="18" t="n">
        <x:f>IF(N434=0,"",M434/N434)</x:f>
        <x:v>69.76052631578948</x:v>
      </x:c>
      <x:c r="AB434" s="19" t="n">
        <x:f>IF(E434=0,"",O434/E434)</x:f>
        <x:v>0.18248175182481752</x:v>
      </x:c>
      <x:c r="AC434" s="19" t="n">
        <x:f>IF(E434=0,"",P434/E434)</x:f>
        <x:v>0.0364963503649635</x:v>
      </x:c>
      <x:c r="AD434" s="20" t="n">
        <x:f>IF(Q434=0,"",100*(R434-S434)/Q434)</x:f>
        <x:v>27.272727272727273</x:v>
      </x:c>
      <x:c r="AE434" s="19" t="n">
        <x:f>IF(F434=0,"",G434/F434)</x:f>
        <x:v>0.0444444724516626</x:v>
      </x:c>
      <x:c r="AF434" s="18" t="n">
        <x:f>ROUND(I434-(F434-G434-H434),2)</x:f>
        <x:v>0</x:v>
      </x:c>
    </x:row>
    <x:row r="435" ht="24" customHeight="1">
      <x:c r="A435" s="14" t="n">
        <x:v>45992</x:v>
      </x:c>
      <x:c r="B435" s="2" t="str">
        <x:v>B2B</x:v>
      </x:c>
      <x:c r="C435" s="2" t="str">
        <x:v>Nordeste</x:v>
      </x:c>
      <x:c r="D435" s="2" t="str">
        <x:v>M-0430</x:v>
      </x:c>
      <x:c r="E435" s="16" t="n">
        <x:v>99</x:v>
      </x:c>
      <x:c r="F435" s="17" t="n">
        <x:v>114742.31</x:v>
      </x:c>
      <x:c r="G435" s="17" t="n">
        <x:v>5099.66</x:v>
      </x:c>
      <x:c r="H435" s="17" t="n">
        <x:v>3155.41</x:v>
      </x:c>
      <x:c r="I435" s="17" t="n">
        <x:v>106487.24</x:v>
      </x:c>
      <x:c r="J435" s="17" t="n">
        <x:v>68741.63</x:v>
      </x:c>
      <x:c r="K435" s="17" t="n">
        <x:v>5750.31</x:v>
      </x:c>
      <x:c r="L435" s="17" t="n">
        <x:v>2555.69</x:v>
      </x:c>
      <x:c r="M435" s="17" t="n">
        <x:v>1916.77</x:v>
      </x:c>
      <x:c r="N435" s="16" t="n">
        <x:v>28</x:v>
      </x:c>
      <x:c r="O435" s="16" t="n">
        <x:v>18</x:v>
      </x:c>
      <x:c r="P435" s="16" t="n">
        <x:v>4</x:v>
      </x:c>
      <x:c r="Q435" s="16" t="n">
        <x:v>32</x:v>
      </x:c>
      <x:c r="R435" s="16" t="n">
        <x:v>17</x:v>
      </x:c>
      <x:c r="S435" s="16" t="n">
        <x:v>8</x:v>
      </x:c>
      <x:c r="T435" s="15" t="n">
        <x:f>YEAR(A435)</x:f>
        <x:v>2025</x:v>
      </x:c>
      <x:c r="U435" s="15" t="n">
        <x:f>ROUNDUP(MONTH(A435)/3,0)</x:f>
        <x:v>4</x:v>
      </x:c>
      <x:c r="V435" s="18" t="n">
        <x:f>I435-J435</x:f>
        <x:v>37745.61</x:v>
      </x:c>
      <x:c r="W435" s="19" t="n">
        <x:f>IF(I435=0,"",V435/I435)</x:f>
        <x:v>0.35446134203497054</x:v>
      </x:c>
      <x:c r="X435" s="18" t="n">
        <x:f>I435-J435-K435-L435-M435</x:f>
        <x:v>27522.84</x:v>
      </x:c>
      <x:c r="Y435" s="19" t="n">
        <x:f>IF(I435=0,"",X435/I435)</x:f>
        <x:v>0.2584613893645849</x:v>
      </x:c>
      <x:c r="Z435" s="18" t="n">
        <x:f>IF(E435=0,"",F435/E435)</x:f>
        <x:v>1159.0132323232324</x:v>
      </x:c>
      <x:c r="AA435" s="18" t="n">
        <x:f>IF(N435=0,"",M435/N435)</x:f>
        <x:v>68.45607142857143</x:v>
      </x:c>
      <x:c r="AB435" s="19" t="n">
        <x:f>IF(E435=0,"",O435/E435)</x:f>
        <x:v>0.18181818181818182</x:v>
      </x:c>
      <x:c r="AC435" s="19" t="n">
        <x:f>IF(E435=0,"",P435/E435)</x:f>
        <x:v>0.04040404040404041</x:v>
      </x:c>
      <x:c r="AD435" s="20" t="n">
        <x:f>IF(Q435=0,"",100*(R435-S435)/Q435)</x:f>
        <x:v>28.125</x:v>
      </x:c>
      <x:c r="AE435" s="19" t="n">
        <x:f>IF(F435=0,"",G435/F435)</x:f>
        <x:v>0.044444459938099555</x:v>
      </x:c>
      <x:c r="AF435" s="18" t="n">
        <x:f>ROUND(I435-(F435-G435-H435),2)</x:f>
        <x:v>0</x:v>
      </x:c>
    </x:row>
    <x:row r="436" ht="24" customHeight="1">
      <x:c r="A436" s="14" t="n">
        <x:v>45992</x:v>
      </x:c>
      <x:c r="B436" s="2" t="str">
        <x:v>B2B</x:v>
      </x:c>
      <x:c r="C436" s="2" t="str">
        <x:v>Sul</x:v>
      </x:c>
      <x:c r="D436" s="2" t="str">
        <x:v>M-0431</x:v>
      </x:c>
      <x:c r="E436" s="16" t="n">
        <x:v>72</x:v>
      </x:c>
      <x:c r="F436" s="17" t="n">
        <x:v>83649.27</x:v>
      </x:c>
      <x:c r="G436" s="17" t="n">
        <x:v>3717.75</x:v>
      </x:c>
      <x:c r="H436" s="17" t="n">
        <x:v>2300.35</x:v>
      </x:c>
      <x:c r="I436" s="17" t="n">
        <x:v>77631.17</x:v>
      </x:c>
      <x:c r="J436" s="17" t="n">
        <x:v>47258.66</x:v>
      </x:c>
      <x:c r="K436" s="17" t="n">
        <x:v>4192.08</x:v>
      </x:c>
      <x:c r="L436" s="17" t="n">
        <x:v>1863.15</x:v>
      </x:c>
      <x:c r="M436" s="17" t="n">
        <x:v>1397.36</x:v>
      </x:c>
      <x:c r="N436" s="16" t="n">
        <x:v>20</x:v>
      </x:c>
      <x:c r="O436" s="16" t="n">
        <x:v>13</x:v>
      </x:c>
      <x:c r="P436" s="16" t="n">
        <x:v>3</x:v>
      </x:c>
      <x:c r="Q436" s="16" t="n">
        <x:v>23</x:v>
      </x:c>
      <x:c r="R436" s="16" t="n">
        <x:v>12</x:v>
      </x:c>
      <x:c r="S436" s="16" t="n">
        <x:v>6</x:v>
      </x:c>
      <x:c r="T436" s="15" t="n">
        <x:f>YEAR(A436)</x:f>
        <x:v>2025</x:v>
      </x:c>
      <x:c r="U436" s="15" t="n">
        <x:f>ROUNDUP(MONTH(A436)/3,0)</x:f>
        <x:v>4</x:v>
      </x:c>
      <x:c r="V436" s="18" t="n">
        <x:f>I436-J436</x:f>
        <x:v>30372.509999999995</x:v>
      </x:c>
      <x:c r="W436" s="19" t="n">
        <x:f>IF(I436=0,"",V436/I436)</x:f>
        <x:v>0.39124117284333076</x:v>
      </x:c>
      <x:c r="X436" s="18" t="n">
        <x:f>I436-J436-K436-L436-M436</x:f>
        <x:v>22919.91999999999</x:v>
      </x:c>
      <x:c r="Y436" s="19" t="n">
        <x:f>IF(I436=0,"",X436/I436)</x:f>
        <x:v>0.2952412027282339</x:v>
      </x:c>
      <x:c r="Z436" s="18" t="n">
        <x:f>IF(E436=0,"",F436/E436)</x:f>
        <x:v>1161.7954166666668</x:v>
      </x:c>
      <x:c r="AA436" s="18" t="n">
        <x:f>IF(N436=0,"",M436/N436)</x:f>
        <x:v>69.868</x:v>
      </x:c>
      <x:c r="AB436" s="19" t="n">
        <x:f>IF(E436=0,"",O436/E436)</x:f>
        <x:v>0.18055555555555555</x:v>
      </x:c>
      <x:c r="AC436" s="19" t="n">
        <x:f>IF(E436=0,"",P436/E436)</x:f>
        <x:v>0.041666666666666664</x:v>
      </x:c>
      <x:c r="AD436" s="20" t="n">
        <x:f>IF(Q436=0,"",100*(R436-S436)/Q436)</x:f>
        <x:v>26.08695652173913</x:v>
      </x:c>
      <x:c r="AE436" s="19" t="n">
        <x:f>IF(F436=0,"",G436/F436)</x:f>
        <x:v>0.044444500232936876</x:v>
      </x:c>
      <x:c r="AF436" s="18" t="n">
        <x:f>ROUND(I436-(F436-G436-H436),2)</x:f>
        <x:v>0</x:v>
      </x:c>
    </x:row>
    <x:row r="437" ht="24" customHeight="1">
      <x:c r="A437" s="14" t="n">
        <x:v>45992</x:v>
      </x:c>
      <x:c r="B437" s="2" t="str">
        <x:v>B2B</x:v>
      </x:c>
      <x:c r="C437" s="2" t="str">
        <x:v>Centro-Oeste</x:v>
      </x:c>
      <x:c r="D437" s="2" t="str">
        <x:v>M-0432</x:v>
      </x:c>
      <x:c r="E437" s="16" t="n">
        <x:v>69</x:v>
      </x:c>
      <x:c r="F437" s="17" t="n">
        <x:v>81539.01</x:v>
      </x:c>
      <x:c r="G437" s="17" t="n">
        <x:v>3623.96</x:v>
      </x:c>
      <x:c r="H437" s="17" t="n">
        <x:v>2242.32</x:v>
      </x:c>
      <x:c r="I437" s="17" t="n">
        <x:v>75672.73</x:v>
      </x:c>
      <x:c r="J437" s="17" t="n">
        <x:v>47601.9</x:v>
      </x:c>
      <x:c r="K437" s="17" t="n">
        <x:v>4086.33</x:v>
      </x:c>
      <x:c r="L437" s="17" t="n">
        <x:v>1816.15</x:v>
      </x:c>
      <x:c r="M437" s="17" t="n">
        <x:v>1362.11</x:v>
      </x:c>
      <x:c r="N437" s="16" t="n">
        <x:v>19</x:v>
      </x:c>
      <x:c r="O437" s="16" t="n">
        <x:v>12</x:v>
      </x:c>
      <x:c r="P437" s="16" t="n">
        <x:v>2</x:v>
      </x:c>
      <x:c r="Q437" s="16" t="n">
        <x:v>22</x:v>
      </x:c>
      <x:c r="R437" s="16" t="n">
        <x:v>12</x:v>
      </x:c>
      <x:c r="S437" s="16" t="n">
        <x:v>5</x:v>
      </x:c>
      <x:c r="T437" s="15" t="n">
        <x:f>YEAR(A437)</x:f>
        <x:v>2025</x:v>
      </x:c>
      <x:c r="U437" s="15" t="n">
        <x:f>ROUNDUP(MONTH(A437)/3,0)</x:f>
        <x:v>4</x:v>
      </x:c>
      <x:c r="V437" s="18" t="n">
        <x:f>I437-J437</x:f>
        <x:v>28070.829999999994</x:v>
      </x:c>
      <x:c r="W437" s="19" t="n">
        <x:f>IF(I437=0,"",V437/I437)</x:f>
        <x:v>0.37095040710173927</x:v>
      </x:c>
      <x:c r="X437" s="18" t="n">
        <x:f>I437-J437-K437-L437-M437</x:f>
        <x:v>20806.23999999999</x:v>
      </x:c>
      <x:c r="Y437" s="19" t="n">
        <x:f>IF(I437=0,"",X437/I437)</x:f>
        <x:v>0.2749503024405224</x:v>
      </x:c>
      <x:c r="Z437" s="18" t="n">
        <x:f>IF(E437=0,"",F437/E437)</x:f>
        <x:v>1181.7247826086955</x:v>
      </x:c>
      <x:c r="AA437" s="18" t="n">
        <x:f>IF(N437=0,"",M437/N437)</x:f>
        <x:v>71.69</x:v>
      </x:c>
      <x:c r="AB437" s="19" t="n">
        <x:f>IF(E437=0,"",O437/E437)</x:f>
        <x:v>0.17391304347826086</x:v>
      </x:c>
      <x:c r="AC437" s="19" t="n">
        <x:f>IF(E437=0,"",P437/E437)</x:f>
        <x:v>0.028985507246376812</x:v>
      </x:c>
      <x:c r="AD437" s="20" t="n">
        <x:f>IF(Q437=0,"",100*(R437-S437)/Q437)</x:f>
        <x:v>31.818181818181817</x:v>
      </x:c>
      <x:c r="AE437" s="19" t="n">
        <x:f>IF(F437=0,"",G437/F437)</x:f>
        <x:v>0.044444493500718246</x:v>
      </x:c>
      <x:c r="AF437" s="18" t="n">
        <x:f>ROUND(I437-(F437-G437-H437),2)</x:f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c04b9e5bf37463a"/>
  </x:tableParts>
</x:worksheet>
</file>

<file path=xl/worksheets/sheet4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4" hidden="0" customWidth="1"/>
    <x:col min="11" max="11" width="18" hidden="0" customWidth="1"/>
    <x:col min="12" max="12" width="18" hidden="0" customWidth="1"/>
    <x:col min="13" max="13" width="21" hidden="0" customWidth="1"/>
  </x:cols>
  <x:sheetData>
    <x:row r="1" ht="32" customHeight="1">
      <x:c r="A1" s="4" t="str">
        <x:v>Pessoas por mês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</x:row>
    <x:row r="2" ht="22" customHeight="1">
      <x:c r="A2" s="5" t="str">
        <x:v>pessoas-mensal.csv · NC-2026.1 · 36 registros fictícios · colunas finais calculadas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</x:row>
    <x:row r="3" ht="10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</x:row>
    <x:row r="4" ht="10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</x:row>
    <x:row r="5" ht="46" customHeight="1">
      <x:c r="A5" s="11" t="str">
        <x:v>id</x:v>
      </x:c>
      <x:c r="B5" s="12" t="str">
        <x:v>mes</x:v>
      </x:c>
      <x:c r="C5" s="12" t="str">
        <x:v>headcount_medio</x:v>
      </x:c>
      <x:c r="D5" s="12" t="str">
        <x:v>admissoes</x:v>
      </x:c>
      <x:c r="E5" s="12" t="str">
        <x:v>desligamentos</x:v>
      </x:c>
      <x:c r="F5" s="12" t="str">
        <x:v>horas_previstas</x:v>
      </x:c>
      <x:c r="G5" s="12" t="str">
        <x:v>horas_ausencia</x:v>
      </x:c>
      <x:c r="H5" s="12" t="str">
        <x:v>horas_extras</x:v>
      </x:c>
      <x:c r="I5" s="12" t="str">
        <x:v>folha_total</x:v>
      </x:c>
      <x:c r="J5" s="12" t="str">
        <x:v>turnover_desligamentos</x:v>
      </x:c>
      <x:c r="K5" s="12" t="str">
        <x:v>absenteismo</x:v>
      </x:c>
      <x:c r="L5" s="12" t="str">
        <x:v>horas_extras_pct</x:v>
      </x:c>
      <x:c r="M5" s="13" t="str">
        <x:v>saldo_movimentacoes</x:v>
      </x:c>
    </x:row>
    <x:row r="6" ht="24" customHeight="1">
      <x:c r="A6" s="2" t="str">
        <x:v>P-001</x:v>
      </x:c>
      <x:c r="B6" s="14" t="n">
        <x:v>44927</x:v>
      </x:c>
      <x:c r="C6" s="16" t="n">
        <x:v>110</x:v>
      </x:c>
      <x:c r="D6" s="16" t="n">
        <x:v>4</x:v>
      </x:c>
      <x:c r="E6" s="16" t="n">
        <x:v>2</x:v>
      </x:c>
      <x:c r="F6" s="16" t="n">
        <x:v>19360</x:v>
      </x:c>
      <x:c r="G6" s="16" t="n">
        <x:v>426</x:v>
      </x:c>
      <x:c r="H6" s="16" t="n">
        <x:v>348</x:v>
      </x:c>
      <x:c r="I6" s="17" t="n">
        <x:v>462000</x:v>
      </x:c>
      <x:c r="J6" s="19" t="n">
        <x:f>IF(C6=0,"",E6/C6)</x:f>
        <x:v>0.01818181818181818</x:v>
      </x:c>
      <x:c r="K6" s="19" t="n">
        <x:f>IF(F6=0,"",G6/F6)</x:f>
        <x:v>0.02200413223140496</x:v>
      </x:c>
      <x:c r="L6" s="19" t="n">
        <x:f>IF(F6=0,"",H6/F6)</x:f>
        <x:v>0.017975206611570246</x:v>
      </x:c>
      <x:c r="M6" s="15" t="n">
        <x:f>D6-E6</x:f>
        <x:v>2</x:v>
      </x:c>
    </x:row>
    <x:row r="7" ht="24" customHeight="1">
      <x:c r="A7" s="2" t="str">
        <x:v>P-002</x:v>
      </x:c>
      <x:c r="B7" s="14" t="n">
        <x:v>44958</x:v>
      </x:c>
      <x:c r="C7" s="16" t="n">
        <x:v>111</x:v>
      </x:c>
      <x:c r="D7" s="16" t="n">
        <x:v>3</x:v>
      </x:c>
      <x:c r="E7" s="16" t="n">
        <x:v>2</x:v>
      </x:c>
      <x:c r="F7" s="16" t="n">
        <x:v>19536</x:v>
      </x:c>
      <x:c r="G7" s="16" t="n">
        <x:v>445</x:v>
      </x:c>
      <x:c r="H7" s="16" t="n">
        <x:v>373</x:v>
      </x:c>
      <x:c r="I7" s="17" t="n">
        <x:v>467865</x:v>
      </x:c>
      <x:c r="J7" s="19" t="n">
        <x:f>IF(C7=0,"",E7/C7)</x:f>
        <x:v>0.018018018018018018</x:v>
      </x:c>
      <x:c r="K7" s="19" t="n">
        <x:f>IF(F7=0,"",G7/F7)</x:f>
        <x:v>0.02277846027846028</x:v>
      </x:c>
      <x:c r="L7" s="19" t="n">
        <x:f>IF(F7=0,"",H7/F7)</x:f>
        <x:v>0.01909295659295659</x:v>
      </x:c>
      <x:c r="M7" s="15" t="n">
        <x:f>D7-E7</x:f>
        <x:v>1</x:v>
      </x:c>
    </x:row>
    <x:row r="8" ht="24" customHeight="1">
      <x:c r="A8" s="2" t="str">
        <x:v>P-003</x:v>
      </x:c>
      <x:c r="B8" s="14" t="n">
        <x:v>44986</x:v>
      </x:c>
      <x:c r="C8" s="16" t="n">
        <x:v>112</x:v>
      </x:c>
      <x:c r="D8" s="16" t="n">
        <x:v>3</x:v>
      </x:c>
      <x:c r="E8" s="16" t="n">
        <x:v>2</x:v>
      </x:c>
      <x:c r="F8" s="16" t="n">
        <x:v>19712</x:v>
      </x:c>
      <x:c r="G8" s="16" t="n">
        <x:v>465</x:v>
      </x:c>
      <x:c r="H8" s="16" t="n">
        <x:v>398</x:v>
      </x:c>
      <x:c r="I8" s="17" t="n">
        <x:v>473760</x:v>
      </x:c>
      <x:c r="J8" s="19" t="n">
        <x:f>IF(C8=0,"",E8/C8)</x:f>
        <x:v>0.017857142857142856</x:v>
      </x:c>
      <x:c r="K8" s="19" t="n">
        <x:f>IF(F8=0,"",G8/F8)</x:f>
        <x:v>0.02358969155844156</x:v>
      </x:c>
      <x:c r="L8" s="19" t="n">
        <x:f>IF(F8=0,"",H8/F8)</x:f>
        <x:v>0.020190746753246752</x:v>
      </x:c>
      <x:c r="M8" s="15" t="n">
        <x:f>D8-E8</x:f>
        <x:v>1</x:v>
      </x:c>
    </x:row>
    <x:row r="9" ht="24" customHeight="1">
      <x:c r="A9" s="2" t="str">
        <x:v>P-004</x:v>
      </x:c>
      <x:c r="B9" s="14" t="n">
        <x:v>45017</x:v>
      </x:c>
      <x:c r="C9" s="16" t="n">
        <x:v>112</x:v>
      </x:c>
      <x:c r="D9" s="16" t="n">
        <x:v>3</x:v>
      </x:c>
      <x:c r="E9" s="16" t="n">
        <x:v>2</x:v>
      </x:c>
      <x:c r="F9" s="16" t="n">
        <x:v>19712</x:v>
      </x:c>
      <x:c r="G9" s="16" t="n">
        <x:v>481</x:v>
      </x:c>
      <x:c r="H9" s="16" t="n">
        <x:v>420</x:v>
      </x:c>
      <x:c r="I9" s="17" t="n">
        <x:v>475440</x:v>
      </x:c>
      <x:c r="J9" s="19" t="n">
        <x:f>IF(C9=0,"",E9/C9)</x:f>
        <x:v>0.017857142857142856</x:v>
      </x:c>
      <x:c r="K9" s="19" t="n">
        <x:f>IF(F9=0,"",G9/F9)</x:f>
        <x:v>0.024401379870129872</x:v>
      </x:c>
      <x:c r="L9" s="19" t="n">
        <x:f>IF(F9=0,"",H9/F9)</x:f>
        <x:v>0.02130681818181818</x:v>
      </x:c>
      <x:c r="M9" s="15" t="n">
        <x:f>D9-E9</x:f>
        <x:v>1</x:v>
      </x:c>
    </x:row>
    <x:row r="10" ht="24" customHeight="1">
      <x:c r="A10" s="2" t="str">
        <x:v>P-005</x:v>
      </x:c>
      <x:c r="B10" s="14" t="n">
        <x:v>45047</x:v>
      </x:c>
      <x:c r="C10" s="16" t="n">
        <x:v>113</x:v>
      </x:c>
      <x:c r="D10" s="16" t="n">
        <x:v>4</x:v>
      </x:c>
      <x:c r="E10" s="16" t="n">
        <x:v>2</x:v>
      </x:c>
      <x:c r="F10" s="16" t="n">
        <x:v>19888</x:v>
      </x:c>
      <x:c r="G10" s="16" t="n">
        <x:v>501</x:v>
      </x:c>
      <x:c r="H10" s="16" t="n">
        <x:v>445</x:v>
      </x:c>
      <x:c r="I10" s="17" t="n">
        <x:v>481380</x:v>
      </x:c>
      <x:c r="J10" s="19" t="n">
        <x:f>IF(C10=0,"",E10/C10)</x:f>
        <x:v>0.017699115044247787</x:v>
      </x:c>
      <x:c r="K10" s="19" t="n">
        <x:f>IF(F10=0,"",G10/F10)</x:f>
        <x:v>0.02519106999195495</x:v>
      </x:c>
      <x:c r="L10" s="19" t="n">
        <x:f>IF(F10=0,"",H10/F10)</x:f>
        <x:v>0.02237530168946098</x:v>
      </x:c>
      <x:c r="M10" s="15" t="n">
        <x:f>D10-E10</x:f>
        <x:v>2</x:v>
      </x:c>
    </x:row>
    <x:row r="11" ht="24" customHeight="1">
      <x:c r="A11" s="2" t="str">
        <x:v>P-006</x:v>
      </x:c>
      <x:c r="B11" s="14" t="n">
        <x:v>45078</x:v>
      </x:c>
      <x:c r="C11" s="16" t="n">
        <x:v>114</x:v>
      </x:c>
      <x:c r="D11" s="16" t="n">
        <x:v>3</x:v>
      </x:c>
      <x:c r="E11" s="16" t="n">
        <x:v>2</x:v>
      </x:c>
      <x:c r="F11" s="16" t="n">
        <x:v>20064</x:v>
      </x:c>
      <x:c r="G11" s="16" t="n">
        <x:v>522</x:v>
      </x:c>
      <x:c r="H11" s="16" t="n">
        <x:v>472</x:v>
      </x:c>
      <x:c r="I11" s="17" t="n">
        <x:v>487350</x:v>
      </x:c>
      <x:c r="J11" s="19" t="n">
        <x:f>IF(C11=0,"",E11/C11)</x:f>
        <x:v>0.017543859649122806</x:v>
      </x:c>
      <x:c r="K11" s="19" t="n">
        <x:f>IF(F11=0,"",G11/F11)</x:f>
        <x:v>0.026016746411483254</x:v>
      </x:c>
      <x:c r="L11" s="19" t="n">
        <x:f>IF(F11=0,"",H11/F11)</x:f>
        <x:v>0.023524720893141945</x:v>
      </x:c>
      <x:c r="M11" s="15" t="n">
        <x:f>D11-E11</x:f>
        <x:v>1</x:v>
      </x:c>
    </x:row>
    <x:row r="12" ht="24" customHeight="1">
      <x:c r="A12" s="2" t="str">
        <x:v>P-007</x:v>
      </x:c>
      <x:c r="B12" s="14" t="n">
        <x:v>45108</x:v>
      </x:c>
      <x:c r="C12" s="16" t="n">
        <x:v>115</x:v>
      </x:c>
      <x:c r="D12" s="16" t="n">
        <x:v>3</x:v>
      </x:c>
      <x:c r="E12" s="16" t="n">
        <x:v>2</x:v>
      </x:c>
      <x:c r="F12" s="16" t="n">
        <x:v>20240</x:v>
      </x:c>
      <x:c r="G12" s="16" t="n">
        <x:v>542</x:v>
      </x:c>
      <x:c r="H12" s="16" t="n">
        <x:v>498</x:v>
      </x:c>
      <x:c r="I12" s="17" t="n">
        <x:v>493350</x:v>
      </x:c>
      <x:c r="J12" s="19" t="n">
        <x:f>IF(C12=0,"",E12/C12)</x:f>
        <x:v>0.017391304347826087</x:v>
      </x:c>
      <x:c r="K12" s="19" t="n">
        <x:f>IF(F12=0,"",G12/F12)</x:f>
        <x:v>0.026778656126482215</x:v>
      </x:c>
      <x:c r="L12" s="19" t="n">
        <x:f>IF(F12=0,"",H12/F12)</x:f>
        <x:v>0.024604743083003953</x:v>
      </x:c>
      <x:c r="M12" s="15" t="n">
        <x:f>D12-E12</x:f>
        <x:v>1</x:v>
      </x:c>
    </x:row>
    <x:row r="13" ht="24" customHeight="1">
      <x:c r="A13" s="2" t="str">
        <x:v>P-008</x:v>
      </x:c>
      <x:c r="B13" s="14" t="n">
        <x:v>45139</x:v>
      </x:c>
      <x:c r="C13" s="16" t="n">
        <x:v>116</x:v>
      </x:c>
      <x:c r="D13" s="16" t="n">
        <x:v>3</x:v>
      </x:c>
      <x:c r="E13" s="16" t="n">
        <x:v>2</x:v>
      </x:c>
      <x:c r="F13" s="16" t="n">
        <x:v>20416</x:v>
      </x:c>
      <x:c r="G13" s="16" t="n">
        <x:v>563</x:v>
      </x:c>
      <x:c r="H13" s="16" t="n">
        <x:v>525</x:v>
      </x:c>
      <x:c r="I13" s="17" t="n">
        <x:v>499380</x:v>
      </x:c>
      <x:c r="J13" s="19" t="n">
        <x:f>IF(C13=0,"",E13/C13)</x:f>
        <x:v>0.017241379310344827</x:v>
      </x:c>
      <x:c r="K13" s="19" t="n">
        <x:f>IF(F13=0,"",G13/F13)</x:f>
        <x:v>0.02757641065830721</x:v>
      </x:c>
      <x:c r="L13" s="19" t="n">
        <x:f>IF(F13=0,"",H13/F13)</x:f>
        <x:v>0.02571512539184953</x:v>
      </x:c>
      <x:c r="M13" s="15" t="n">
        <x:f>D13-E13</x:f>
        <x:v>1</x:v>
      </x:c>
    </x:row>
    <x:row r="14" ht="24" customHeight="1">
      <x:c r="A14" s="2" t="str">
        <x:v>P-009</x:v>
      </x:c>
      <x:c r="B14" s="14" t="n">
        <x:v>45170</x:v>
      </x:c>
      <x:c r="C14" s="16" t="n">
        <x:v>116</x:v>
      </x:c>
      <x:c r="D14" s="16" t="n">
        <x:v>4</x:v>
      </x:c>
      <x:c r="E14" s="16" t="n">
        <x:v>2</x:v>
      </x:c>
      <x:c r="F14" s="16" t="n">
        <x:v>20416</x:v>
      </x:c>
      <x:c r="G14" s="16" t="n">
        <x:v>580</x:v>
      </x:c>
      <x:c r="H14" s="16" t="n">
        <x:v>547</x:v>
      </x:c>
      <x:c r="I14" s="17" t="n">
        <x:v>501120</x:v>
      </x:c>
      <x:c r="J14" s="19" t="n">
        <x:f>IF(C14=0,"",E14/C14)</x:f>
        <x:v>0.017241379310344827</x:v>
      </x:c>
      <x:c r="K14" s="19" t="n">
        <x:f>IF(F14=0,"",G14/F14)</x:f>
        <x:v>0.028409090909090908</x:v>
      </x:c>
      <x:c r="L14" s="19" t="n">
        <x:f>IF(F14=0,"",H14/F14)</x:f>
        <x:v>0.02679271159874608</x:v>
      </x:c>
      <x:c r="M14" s="15" t="n">
        <x:f>D14-E14</x:f>
        <x:v>2</x:v>
      </x:c>
    </x:row>
    <x:row r="15" ht="24" customHeight="1">
      <x:c r="A15" s="2" t="str">
        <x:v>P-010</x:v>
      </x:c>
      <x:c r="B15" s="14" t="n">
        <x:v>45200</x:v>
      </x:c>
      <x:c r="C15" s="16" t="n">
        <x:v>117</x:v>
      </x:c>
      <x:c r="D15" s="16" t="n">
        <x:v>3</x:v>
      </x:c>
      <x:c r="E15" s="16" t="n">
        <x:v>2</x:v>
      </x:c>
      <x:c r="F15" s="16" t="n">
        <x:v>20592</x:v>
      </x:c>
      <x:c r="G15" s="16" t="n">
        <x:v>601</x:v>
      </x:c>
      <x:c r="H15" s="16" t="n">
        <x:v>575</x:v>
      </x:c>
      <x:c r="I15" s="17" t="n">
        <x:v>507195</x:v>
      </x:c>
      <x:c r="J15" s="19" t="n">
        <x:f>IF(C15=0,"",E15/C15)</x:f>
        <x:v>0.017094017094017096</x:v>
      </x:c>
      <x:c r="K15" s="19" t="n">
        <x:f>IF(F15=0,"",G15/F15)</x:f>
        <x:v>0.029186091686091688</x:v>
      </x:c>
      <x:c r="L15" s="19" t="n">
        <x:f>IF(F15=0,"",H15/F15)</x:f>
        <x:v>0.027923465423465424</x:v>
      </x:c>
      <x:c r="M15" s="15" t="n">
        <x:f>D15-E15</x:f>
        <x:v>1</x:v>
      </x:c>
    </x:row>
    <x:row r="16" ht="24" customHeight="1">
      <x:c r="A16" s="2" t="str">
        <x:v>P-011</x:v>
      </x:c>
      <x:c r="B16" s="14" t="n">
        <x:v>45231</x:v>
      </x:c>
      <x:c r="C16" s="16" t="n">
        <x:v>118</x:v>
      </x:c>
      <x:c r="D16" s="16" t="n">
        <x:v>3</x:v>
      </x:c>
      <x:c r="E16" s="16" t="n">
        <x:v>2</x:v>
      </x:c>
      <x:c r="F16" s="16" t="n">
        <x:v>20768</x:v>
      </x:c>
      <x:c r="G16" s="16" t="n">
        <x:v>623</x:v>
      </x:c>
      <x:c r="H16" s="16" t="n">
        <x:v>602</x:v>
      </x:c>
      <x:c r="I16" s="17" t="n">
        <x:v>513300</x:v>
      </x:c>
      <x:c r="J16" s="19" t="n">
        <x:f>IF(C16=0,"",E16/C16)</x:f>
        <x:v>0.01694915254237288</x:v>
      </x:c>
      <x:c r="K16" s="19" t="n">
        <x:f>IF(F16=0,"",G16/F16)</x:f>
        <x:v>0.029998073959938365</x:v>
      </x:c>
      <x:c r="L16" s="19" t="n">
        <x:f>IF(F16=0,"",H16/F16)</x:f>
        <x:v>0.028986902927580892</x:v>
      </x:c>
      <x:c r="M16" s="15" t="n">
        <x:f>D16-E16</x:f>
        <x:v>1</x:v>
      </x:c>
    </x:row>
    <x:row r="17" ht="24" customHeight="1">
      <x:c r="A17" s="2" t="str">
        <x:v>P-012</x:v>
      </x:c>
      <x:c r="B17" s="14" t="n">
        <x:v>45261</x:v>
      </x:c>
      <x:c r="C17" s="16" t="n">
        <x:v>119</x:v>
      </x:c>
      <x:c r="D17" s="16" t="n">
        <x:v>3</x:v>
      </x:c>
      <x:c r="E17" s="16" t="n">
        <x:v>2</x:v>
      </x:c>
      <x:c r="F17" s="16" t="n">
        <x:v>20944</x:v>
      </x:c>
      <x:c r="G17" s="16" t="n">
        <x:v>645</x:v>
      </x:c>
      <x:c r="H17" s="16" t="n">
        <x:v>630</x:v>
      </x:c>
      <x:c r="I17" s="17" t="n">
        <x:v>519435</x:v>
      </x:c>
      <x:c r="J17" s="19" t="n">
        <x:f>IF(C17=0,"",E17/C17)</x:f>
        <x:v>0.01680672268907563</x:v>
      </x:c>
      <x:c r="K17" s="19" t="n">
        <x:f>IF(F17=0,"",G17/F17)</x:f>
        <x:v>0.030796409472880062</x:v>
      </x:c>
      <x:c r="L17" s="19" t="n">
        <x:f>IF(F17=0,"",H17/F17)</x:f>
        <x:v>0.030080213903743314</x:v>
      </x:c>
      <x:c r="M17" s="15" t="n">
        <x:f>D17-E17</x:f>
        <x:v>1</x:v>
      </x:c>
    </x:row>
    <x:row r="18" ht="24" customHeight="1">
      <x:c r="A18" s="2" t="str">
        <x:v>P-013</x:v>
      </x:c>
      <x:c r="B18" s="14" t="n">
        <x:v>45292</x:v>
      </x:c>
      <x:c r="C18" s="16" t="n">
        <x:v>120</x:v>
      </x:c>
      <x:c r="D18" s="16" t="n">
        <x:v>4</x:v>
      </x:c>
      <x:c r="E18" s="16" t="n">
        <x:v>2</x:v>
      </x:c>
      <x:c r="F18" s="16" t="n">
        <x:v>21120</x:v>
      </x:c>
      <x:c r="G18" s="16" t="n">
        <x:v>667</x:v>
      </x:c>
      <x:c r="H18" s="16" t="n">
        <x:v>659</x:v>
      </x:c>
      <x:c r="I18" s="17" t="n">
        <x:v>525600</x:v>
      </x:c>
      <x:c r="J18" s="19" t="n">
        <x:f>IF(C18=0,"",E18/C18)</x:f>
        <x:v>0.016666666666666666</x:v>
      </x:c>
      <x:c r="K18" s="19" t="n">
        <x:f>IF(F18=0,"",G18/F18)</x:f>
        <x:v>0.03158143939393939</x:v>
      </x:c>
      <x:c r="L18" s="19" t="n">
        <x:f>IF(F18=0,"",H18/F18)</x:f>
        <x:v>0.031202651515151517</x:v>
      </x:c>
      <x:c r="M18" s="15" t="n">
        <x:f>D18-E18</x:f>
        <x:v>2</x:v>
      </x:c>
    </x:row>
    <x:row r="19" ht="24" customHeight="1">
      <x:c r="A19" s="2" t="str">
        <x:v>P-014</x:v>
      </x:c>
      <x:c r="B19" s="14" t="n">
        <x:v>45323</x:v>
      </x:c>
      <x:c r="C19" s="16" t="n">
        <x:v>120</x:v>
      </x:c>
      <x:c r="D19" s="16" t="n">
        <x:v>3</x:v>
      </x:c>
      <x:c r="E19" s="16" t="n">
        <x:v>2</x:v>
      </x:c>
      <x:c r="F19" s="16" t="n">
        <x:v>21120</x:v>
      </x:c>
      <x:c r="G19" s="16" t="n">
        <x:v>684</x:v>
      </x:c>
      <x:c r="H19" s="16" t="n">
        <x:v>682</x:v>
      </x:c>
      <x:c r="I19" s="17" t="n">
        <x:v>527400</x:v>
      </x:c>
      <x:c r="J19" s="19" t="n">
        <x:f>IF(C19=0,"",E19/C19)</x:f>
        <x:v>0.016666666666666666</x:v>
      </x:c>
      <x:c r="K19" s="19" t="n">
        <x:f>IF(F19=0,"",G19/F19)</x:f>
        <x:v>0.03238636363636364</x:v>
      </x:c>
      <x:c r="L19" s="19" t="n">
        <x:f>IF(F19=0,"",H19/F19)</x:f>
        <x:v>0.03229166666666667</x:v>
      </x:c>
      <x:c r="M19" s="15" t="n">
        <x:f>D19-E19</x:f>
        <x:v>1</x:v>
      </x:c>
    </x:row>
    <x:row r="20" ht="24" customHeight="1">
      <x:c r="A20" s="2" t="str">
        <x:v>P-015</x:v>
      </x:c>
      <x:c r="B20" s="14" t="n">
        <x:v>45352</x:v>
      </x:c>
      <x:c r="C20" s="16" t="n">
        <x:v>121</x:v>
      </x:c>
      <x:c r="D20" s="16" t="n">
        <x:v>3</x:v>
      </x:c>
      <x:c r="E20" s="16" t="n">
        <x:v>2</x:v>
      </x:c>
      <x:c r="F20" s="16" t="n">
        <x:v>21296</x:v>
      </x:c>
      <x:c r="G20" s="16" t="n">
        <x:v>707</x:v>
      </x:c>
      <x:c r="H20" s="16" t="n">
        <x:v>711</x:v>
      </x:c>
      <x:c r="I20" s="17" t="n">
        <x:v>533610</x:v>
      </x:c>
      <x:c r="J20" s="19" t="n">
        <x:f>IF(C20=0,"",E20/C20)</x:f>
        <x:v>0.01652892561983471</x:v>
      </x:c>
      <x:c r="K20" s="19" t="n">
        <x:f>IF(F20=0,"",G20/F20)</x:f>
        <x:v>0.03319872276483847</x:v>
      </x:c>
      <x:c r="L20" s="19" t="n">
        <x:f>IF(F20=0,"",H20/F20)</x:f>
        <x:v>0.03338655146506386</x:v>
      </x:c>
      <x:c r="M20" s="15" t="n">
        <x:f>D20-E20</x:f>
        <x:v>1</x:v>
      </x:c>
    </x:row>
    <x:row r="21" ht="24" customHeight="1">
      <x:c r="A21" s="2" t="str">
        <x:v>P-016</x:v>
      </x:c>
      <x:c r="B21" s="14" t="n">
        <x:v>45383</x:v>
      </x:c>
      <x:c r="C21" s="16" t="n">
        <x:v>122</x:v>
      </x:c>
      <x:c r="D21" s="16" t="n">
        <x:v>3</x:v>
      </x:c>
      <x:c r="E21" s="16" t="n">
        <x:v>2</x:v>
      </x:c>
      <x:c r="F21" s="16" t="n">
        <x:v>21472</x:v>
      </x:c>
      <x:c r="G21" s="16" t="n">
        <x:v>730</x:v>
      </x:c>
      <x:c r="H21" s="16" t="n">
        <x:v>741</x:v>
      </x:c>
      <x:c r="I21" s="17" t="n">
        <x:v>539850</x:v>
      </x:c>
      <x:c r="J21" s="19" t="n">
        <x:f>IF(C21=0,"",E21/C21)</x:f>
        <x:v>0.01639344262295082</x:v>
      </x:c>
      <x:c r="K21" s="19" t="n">
        <x:f>IF(F21=0,"",G21/F21)</x:f>
        <x:v>0.033997764530551415</x:v>
      </x:c>
      <x:c r="L21" s="19" t="n">
        <x:f>IF(F21=0,"",H21/F21)</x:f>
        <x:v>0.03451005961251863</x:v>
      </x:c>
      <x:c r="M21" s="15" t="n">
        <x:f>D21-E21</x:f>
        <x:v>1</x:v>
      </x:c>
    </x:row>
    <x:row r="22" ht="24" customHeight="1">
      <x:c r="A22" s="2" t="str">
        <x:v>P-017</x:v>
      </x:c>
      <x:c r="B22" s="14" t="n">
        <x:v>45413</x:v>
      </x:c>
      <x:c r="C22" s="16" t="n">
        <x:v>123</x:v>
      </x:c>
      <x:c r="D22" s="16" t="n">
        <x:v>4</x:v>
      </x:c>
      <x:c r="E22" s="16" t="n">
        <x:v>2</x:v>
      </x:c>
      <x:c r="F22" s="16" t="n">
        <x:v>21648</x:v>
      </x:c>
      <x:c r="G22" s="16" t="n">
        <x:v>753</x:v>
      </x:c>
      <x:c r="H22" s="16" t="n">
        <x:v>771</x:v>
      </x:c>
      <x:c r="I22" s="17" t="n">
        <x:v>546120</x:v>
      </x:c>
      <x:c r="J22" s="19" t="n">
        <x:f>IF(C22=0,"",E22/C22)</x:f>
        <x:v>0.016260162601626018</x:v>
      </x:c>
      <x:c r="K22" s="19" t="n">
        <x:f>IF(F22=0,"",G22/F22)</x:f>
        <x:v>0.03478381374722838</x:v>
      </x:c>
      <x:c r="L22" s="19" t="n">
        <x:f>IF(F22=0,"",H22/F22)</x:f>
        <x:v>0.03561529933481153</x:v>
      </x:c>
      <x:c r="M22" s="15" t="n">
        <x:f>D22-E22</x:f>
        <x:v>2</x:v>
      </x:c>
    </x:row>
    <x:row r="23" ht="24" customHeight="1">
      <x:c r="A23" s="2" t="str">
        <x:v>P-018</x:v>
      </x:c>
      <x:c r="B23" s="14" t="n">
        <x:v>45444</x:v>
      </x:c>
      <x:c r="C23" s="16" t="n">
        <x:v>124</x:v>
      </x:c>
      <x:c r="D23" s="16" t="n">
        <x:v>3</x:v>
      </x:c>
      <x:c r="E23" s="16" t="n">
        <x:v>2</x:v>
      </x:c>
      <x:c r="F23" s="16" t="n">
        <x:v>21824</x:v>
      </x:c>
      <x:c r="G23" s="16" t="n">
        <x:v>777</x:v>
      </x:c>
      <x:c r="H23" s="16" t="n">
        <x:v>801</x:v>
      </x:c>
      <x:c r="I23" s="17" t="n">
        <x:v>552420</x:v>
      </x:c>
      <x:c r="J23" s="19" t="n">
        <x:f>IF(C23=0,"",E23/C23)</x:f>
        <x:v>0.016129032258064516</x:v>
      </x:c>
      <x:c r="K23" s="19" t="n">
        <x:f>IF(F23=0,"",G23/F23)</x:f>
        <x:v>0.03560300586510264</x:v>
      </x:c>
      <x:c r="L23" s="19" t="n">
        <x:f>IF(F23=0,"",H23/F23)</x:f>
        <x:v>0.03670271260997068</x:v>
      </x:c>
      <x:c r="M23" s="15" t="n">
        <x:f>D23-E23</x:f>
        <x:v>1</x:v>
      </x:c>
    </x:row>
    <x:row r="24" ht="24" customHeight="1">
      <x:c r="A24" s="2" t="str">
        <x:v>P-019</x:v>
      </x:c>
      <x:c r="B24" s="14" t="n">
        <x:v>45474</x:v>
      </x:c>
      <x:c r="C24" s="16" t="n">
        <x:v>124</x:v>
      </x:c>
      <x:c r="D24" s="16" t="n">
        <x:v>3</x:v>
      </x:c>
      <x:c r="E24" s="16" t="n">
        <x:v>2</x:v>
      </x:c>
      <x:c r="F24" s="16" t="n">
        <x:v>21824</x:v>
      </x:c>
      <x:c r="G24" s="16" t="n">
        <x:v>794</x:v>
      </x:c>
      <x:c r="H24" s="16" t="n">
        <x:v>825</x:v>
      </x:c>
      <x:c r="I24" s="17" t="n">
        <x:v>554280</x:v>
      </x:c>
      <x:c r="J24" s="19" t="n">
        <x:f>IF(C24=0,"",E24/C24)</x:f>
        <x:v>0.016129032258064516</x:v>
      </x:c>
      <x:c r="K24" s="19" t="n">
        <x:f>IF(F24=0,"",G24/F24)</x:f>
        <x:v>0.03638196480938417</x:v>
      </x:c>
      <x:c r="L24" s="19" t="n">
        <x:f>IF(F24=0,"",H24/F24)</x:f>
        <x:v>0.03780241935483871</x:v>
      </x:c>
      <x:c r="M24" s="15" t="n">
        <x:f>D24-E24</x:f>
        <x:v>1</x:v>
      </x:c>
    </x:row>
    <x:row r="25" ht="24" customHeight="1">
      <x:c r="A25" s="2" t="str">
        <x:v>P-020</x:v>
      </x:c>
      <x:c r="B25" s="14" t="n">
        <x:v>45505</x:v>
      </x:c>
      <x:c r="C25" s="16" t="n">
        <x:v>125</x:v>
      </x:c>
      <x:c r="D25" s="16" t="n">
        <x:v>3</x:v>
      </x:c>
      <x:c r="E25" s="16" t="n">
        <x:v>2</x:v>
      </x:c>
      <x:c r="F25" s="16" t="n">
        <x:v>22000</x:v>
      </x:c>
      <x:c r="G25" s="16" t="n">
        <x:v>818</x:v>
      </x:c>
      <x:c r="H25" s="16" t="n">
        <x:v>856</x:v>
      </x:c>
      <x:c r="I25" s="17" t="n">
        <x:v>560625</x:v>
      </x:c>
      <x:c r="J25" s="19" t="n">
        <x:f>IF(C25=0,"",E25/C25)</x:f>
        <x:v>0.016</x:v>
      </x:c>
      <x:c r="K25" s="19" t="n">
        <x:f>IF(F25=0,"",G25/F25)</x:f>
        <x:v>0.037181818181818184</x:v>
      </x:c>
      <x:c r="L25" s="19" t="n">
        <x:f>IF(F25=0,"",H25/F25)</x:f>
        <x:v>0.03890909090909091</x:v>
      </x:c>
      <x:c r="M25" s="15" t="n">
        <x:f>D25-E25</x:f>
        <x:v>1</x:v>
      </x:c>
    </x:row>
    <x:row r="26" ht="24" customHeight="1">
      <x:c r="A26" s="2" t="str">
        <x:v>P-021</x:v>
      </x:c>
      <x:c r="B26" s="14" t="n">
        <x:v>45536</x:v>
      </x:c>
      <x:c r="C26" s="16" t="n">
        <x:v>126</x:v>
      </x:c>
      <x:c r="D26" s="16" t="n">
        <x:v>4</x:v>
      </x:c>
      <x:c r="E26" s="16" t="n">
        <x:v>2</x:v>
      </x:c>
      <x:c r="F26" s="16" t="n">
        <x:v>22176</x:v>
      </x:c>
      <x:c r="G26" s="16" t="n">
        <x:v>843</x:v>
      </x:c>
      <x:c r="H26" s="16" t="n">
        <x:v>887</x:v>
      </x:c>
      <x:c r="I26" s="17" t="n">
        <x:v>567000</x:v>
      </x:c>
      <x:c r="J26" s="19" t="n">
        <x:f>IF(C26=0,"",E26/C26)</x:f>
        <x:v>0.015873015873015872</x:v>
      </x:c>
      <x:c r="K26" s="19" t="n">
        <x:f>IF(F26=0,"",G26/F26)</x:f>
        <x:v>0.038014069264069264</x:v>
      </x:c>
      <x:c r="L26" s="19" t="n">
        <x:f>IF(F26=0,"",H26/F26)</x:f>
        <x:v>0.03999819624819625</x:v>
      </x:c>
      <x:c r="M26" s="15" t="n">
        <x:f>D26-E26</x:f>
        <x:v>2</x:v>
      </x:c>
    </x:row>
    <x:row r="27" ht="24" customHeight="1">
      <x:c r="A27" s="2" t="str">
        <x:v>P-022</x:v>
      </x:c>
      <x:c r="B27" s="14" t="n">
        <x:v>45566</x:v>
      </x:c>
      <x:c r="C27" s="16" t="n">
        <x:v>127</x:v>
      </x:c>
      <x:c r="D27" s="16" t="n">
        <x:v>3</x:v>
      </x:c>
      <x:c r="E27" s="16" t="n">
        <x:v>2</x:v>
      </x:c>
      <x:c r="F27" s="16" t="n">
        <x:v>22352</x:v>
      </x:c>
      <x:c r="G27" s="16" t="n">
        <x:v>867</x:v>
      </x:c>
      <x:c r="H27" s="16" t="n">
        <x:v>919</x:v>
      </x:c>
      <x:c r="I27" s="17" t="n">
        <x:v>573405</x:v>
      </x:c>
      <x:c r="J27" s="19" t="n">
        <x:f>IF(C27=0,"",E27/C27)</x:f>
        <x:v>0.015748031496062992</x:v>
      </x:c>
      <x:c r="K27" s="19" t="n">
        <x:f>IF(F27=0,"",G27/F27)</x:f>
        <x:v>0.03878847530422334</x:v>
      </x:c>
      <x:c r="L27" s="19" t="n">
        <x:f>IF(F27=0,"",H27/F27)</x:f>
        <x:v>0.041114889047959916</x:v>
      </x:c>
      <x:c r="M27" s="15" t="n">
        <x:f>D27-E27</x:f>
        <x:v>1</x:v>
      </x:c>
    </x:row>
    <x:row r="28" ht="24" customHeight="1">
      <x:c r="A28" s="2" t="str">
        <x:v>P-023</x:v>
      </x:c>
      <x:c r="B28" s="14" t="n">
        <x:v>45597</x:v>
      </x:c>
      <x:c r="C28" s="16" t="n">
        <x:v>128</x:v>
      </x:c>
      <x:c r="D28" s="16" t="n">
        <x:v>3</x:v>
      </x:c>
      <x:c r="E28" s="16" t="n">
        <x:v>2</x:v>
      </x:c>
      <x:c r="F28" s="16" t="n">
        <x:v>22528</x:v>
      </x:c>
      <x:c r="G28" s="16" t="n">
        <x:v>892</x:v>
      </x:c>
      <x:c r="H28" s="16" t="n">
        <x:v>951</x:v>
      </x:c>
      <x:c r="I28" s="17" t="n">
        <x:v>579840</x:v>
      </x:c>
      <x:c r="J28" s="19" t="n">
        <x:f>IF(C28=0,"",E28/C28)</x:f>
        <x:v>0.015625</x:v>
      </x:c>
      <x:c r="K28" s="19" t="n">
        <x:f>IF(F28=0,"",G28/F28)</x:f>
        <x:v>0.039595170454545456</x:v>
      </x:c>
      <x:c r="L28" s="19" t="n">
        <x:f>IF(F28=0,"",H28/F28)</x:f>
        <x:v>0.04221413352272727</x:v>
      </x:c>
      <x:c r="M28" s="15" t="n">
        <x:f>D28-E28</x:f>
        <x:v>1</x:v>
      </x:c>
    </x:row>
    <x:row r="29" ht="24" customHeight="1">
      <x:c r="A29" s="2" t="str">
        <x:v>P-024</x:v>
      </x:c>
      <x:c r="B29" s="14" t="n">
        <x:v>45627</x:v>
      </x:c>
      <x:c r="C29" s="16" t="n">
        <x:v>128</x:v>
      </x:c>
      <x:c r="D29" s="16" t="n">
        <x:v>3</x:v>
      </x:c>
      <x:c r="E29" s="16" t="n">
        <x:v>2</x:v>
      </x:c>
      <x:c r="F29" s="16" t="n">
        <x:v>22528</x:v>
      </x:c>
      <x:c r="G29" s="16" t="n">
        <x:v>910</x:v>
      </x:c>
      <x:c r="H29" s="16" t="n">
        <x:v>975</x:v>
      </x:c>
      <x:c r="I29" s="17" t="n">
        <x:v>581760</x:v>
      </x:c>
      <x:c r="J29" s="19" t="n">
        <x:f>IF(C29=0,"",E29/C29)</x:f>
        <x:v>0.015625</x:v>
      </x:c>
      <x:c r="K29" s="19" t="n">
        <x:f>IF(F29=0,"",G29/F29)</x:f>
        <x:v>0.04039417613636364</x:v>
      </x:c>
      <x:c r="L29" s="19" t="n">
        <x:f>IF(F29=0,"",H29/F29)</x:f>
        <x:v>0.043279474431818184</x:v>
      </x:c>
      <x:c r="M29" s="15" t="n">
        <x:f>D29-E29</x:f>
        <x:v>1</x:v>
      </x:c>
    </x:row>
    <x:row r="30" ht="24" customHeight="1">
      <x:c r="A30" s="2" t="str">
        <x:v>P-025</x:v>
      </x:c>
      <x:c r="B30" s="14" t="n">
        <x:v>45658</x:v>
      </x:c>
      <x:c r="C30" s="16" t="n">
        <x:v>129</x:v>
      </x:c>
      <x:c r="D30" s="16" t="n">
        <x:v>4</x:v>
      </x:c>
      <x:c r="E30" s="16" t="n">
        <x:v>4</x:v>
      </x:c>
      <x:c r="F30" s="16" t="n">
        <x:v>22704</x:v>
      </x:c>
      <x:c r="G30" s="16" t="n">
        <x:v>935</x:v>
      </x:c>
      <x:c r="H30" s="16" t="n">
        <x:v>1008</x:v>
      </x:c>
      <x:c r="I30" s="17" t="n">
        <x:v>588240</x:v>
      </x:c>
      <x:c r="J30" s="19" t="n">
        <x:f>IF(C30=0,"",E30/C30)</x:f>
        <x:v>0.031007751937984496</x:v>
      </x:c>
      <x:c r="K30" s="19" t="n">
        <x:f>IF(F30=0,"",G30/F30)</x:f>
        <x:v>0.041182170542635656</x:v>
      </x:c>
      <x:c r="L30" s="19" t="n">
        <x:f>IF(F30=0,"",H30/F30)</x:f>
        <x:v>0.04439746300211417</x:v>
      </x:c>
      <x:c r="M30" s="15" t="n">
        <x:f>D30-E30</x:f>
        <x:v>0</x:v>
      </x:c>
    </x:row>
    <x:row r="31" ht="24" customHeight="1">
      <x:c r="A31" s="2" t="str">
        <x:v>P-026</x:v>
      </x:c>
      <x:c r="B31" s="14" t="n">
        <x:v>45689</x:v>
      </x:c>
      <x:c r="C31" s="16" t="n">
        <x:v>130</x:v>
      </x:c>
      <x:c r="D31" s="16" t="n">
        <x:v>3</x:v>
      </x:c>
      <x:c r="E31" s="16" t="n">
        <x:v>4</x:v>
      </x:c>
      <x:c r="F31" s="16" t="n">
        <x:v>22880</x:v>
      </x:c>
      <x:c r="G31" s="16" t="n">
        <x:v>961</x:v>
      </x:c>
      <x:c r="H31" s="16" t="n">
        <x:v>1041</x:v>
      </x:c>
      <x:c r="I31" s="17" t="n">
        <x:v>594750</x:v>
      </x:c>
      <x:c r="J31" s="19" t="n">
        <x:f>IF(C31=0,"",E31/C31)</x:f>
        <x:v>0.03076923076923077</x:v>
      </x:c>
      <x:c r="K31" s="19" t="n">
        <x:f>IF(F31=0,"",G31/F31)</x:f>
        <x:v>0.04200174825174825</x:v>
      </x:c>
      <x:c r="L31" s="19" t="n">
        <x:f>IF(F31=0,"",H31/F31)</x:f>
        <x:v>0.04549825174825175</x:v>
      </x:c>
      <x:c r="M31" s="15" t="n">
        <x:f>D31-E31</x:f>
        <x:v>-1</x:v>
      </x:c>
    </x:row>
    <x:row r="32" ht="24" customHeight="1">
      <x:c r="A32" s="2" t="str">
        <x:v>P-027</x:v>
      </x:c>
      <x:c r="B32" s="14" t="n">
        <x:v>45717</x:v>
      </x:c>
      <x:c r="C32" s="16" t="n">
        <x:v>131</x:v>
      </x:c>
      <x:c r="D32" s="16" t="n">
        <x:v>3</x:v>
      </x:c>
      <x:c r="E32" s="16" t="n">
        <x:v>4</x:v>
      </x:c>
      <x:c r="F32" s="16" t="n">
        <x:v>23056</x:v>
      </x:c>
      <x:c r="G32" s="16" t="n">
        <x:v>987</x:v>
      </x:c>
      <x:c r="H32" s="16" t="n">
        <x:v>1074</x:v>
      </x:c>
      <x:c r="I32" s="17" t="n">
        <x:v>601290</x:v>
      </x:c>
      <x:c r="J32" s="19" t="n">
        <x:f>IF(C32=0,"",E32/C32)</x:f>
        <x:v>0.030534351145038167</x:v>
      </x:c>
      <x:c r="K32" s="19" t="n">
        <x:f>IF(F32=0,"",G32/F32)</x:f>
        <x:v>0.0428088133240805</x:v>
      </x:c>
      <x:c r="L32" s="19" t="n">
        <x:f>IF(F32=0,"",H32/F32)</x:f>
        <x:v>0.046582234559333795</x:v>
      </x:c>
      <x:c r="M32" s="15" t="n">
        <x:f>D32-E32</x:f>
        <x:v>-1</x:v>
      </x:c>
    </x:row>
    <x:row r="33" ht="24" customHeight="1">
      <x:c r="A33" s="2" t="str">
        <x:v>P-028</x:v>
      </x:c>
      <x:c r="B33" s="14" t="n">
        <x:v>45748</x:v>
      </x:c>
      <x:c r="C33" s="16" t="n">
        <x:v>132</x:v>
      </x:c>
      <x:c r="D33" s="16" t="n">
        <x:v>3</x:v>
      </x:c>
      <x:c r="E33" s="16" t="n">
        <x:v>4</x:v>
      </x:c>
      <x:c r="F33" s="16" t="n">
        <x:v>23232</x:v>
      </x:c>
      <x:c r="G33" s="16" t="n">
        <x:v>1013</x:v>
      </x:c>
      <x:c r="H33" s="16" t="n">
        <x:v>1108</x:v>
      </x:c>
      <x:c r="I33" s="17" t="n">
        <x:v>607860</x:v>
      </x:c>
      <x:c r="J33" s="19" t="n">
        <x:f>IF(C33=0,"",E33/C33)</x:f>
        <x:v>0.030303030303030304</x:v>
      </x:c>
      <x:c r="K33" s="19" t="n">
        <x:f>IF(F33=0,"",G33/F33)</x:f>
        <x:v>0.04360365013774105</x:v>
      </x:c>
      <x:c r="L33" s="19" t="n">
        <x:f>IF(F33=0,"",H33/F33)</x:f>
        <x:v>0.04769283746556474</x:v>
      </x:c>
      <x:c r="M33" s="15" t="n">
        <x:f>D33-E33</x:f>
        <x:v>-1</x:v>
      </x:c>
    </x:row>
    <x:row r="34" ht="24" customHeight="1">
      <x:c r="A34" s="2" t="str">
        <x:v>P-029</x:v>
      </x:c>
      <x:c r="B34" s="14" t="n">
        <x:v>45778</x:v>
      </x:c>
      <x:c r="C34" s="16" t="n">
        <x:v>132</x:v>
      </x:c>
      <x:c r="D34" s="16" t="n">
        <x:v>4</x:v>
      </x:c>
      <x:c r="E34" s="16" t="n">
        <x:v>4</x:v>
      </x:c>
      <x:c r="F34" s="16" t="n">
        <x:v>23232</x:v>
      </x:c>
      <x:c r="G34" s="16" t="n">
        <x:v>1032</x:v>
      </x:c>
      <x:c r="H34" s="16" t="n">
        <x:v>1134</x:v>
      </x:c>
      <x:c r="I34" s="17" t="n">
        <x:v>609840</x:v>
      </x:c>
      <x:c r="J34" s="19" t="n">
        <x:f>IF(C34=0,"",E34/C34)</x:f>
        <x:v>0.030303030303030304</x:v>
      </x:c>
      <x:c r="K34" s="19" t="n">
        <x:f>IF(F34=0,"",G34/F34)</x:f>
        <x:v>0.04442148760330578</x:v>
      </x:c>
      <x:c r="L34" s="19" t="n">
        <x:f>IF(F34=0,"",H34/F34)</x:f>
        <x:v>0.04881198347107438</x:v>
      </x:c>
      <x:c r="M34" s="15" t="n">
        <x:f>D34-E34</x:f>
        <x:v>0</x:v>
      </x:c>
    </x:row>
    <x:row r="35" ht="24" customHeight="1">
      <x:c r="A35" s="2" t="str">
        <x:v>P-030</x:v>
      </x:c>
      <x:c r="B35" s="14" t="n">
        <x:v>45809</x:v>
      </x:c>
      <x:c r="C35" s="16" t="n">
        <x:v>133</x:v>
      </x:c>
      <x:c r="D35" s="16" t="n">
        <x:v>3</x:v>
      </x:c>
      <x:c r="E35" s="16" t="n">
        <x:v>4</x:v>
      </x:c>
      <x:c r="F35" s="16" t="n">
        <x:v>23408</x:v>
      </x:c>
      <x:c r="G35" s="16" t="n">
        <x:v>1058</x:v>
      </x:c>
      <x:c r="H35" s="16" t="n">
        <x:v>1168</x:v>
      </x:c>
      <x:c r="I35" s="17" t="n">
        <x:v>616455</x:v>
      </x:c>
      <x:c r="J35" s="19" t="n">
        <x:f>IF(C35=0,"",E35/C35)</x:f>
        <x:v>0.03007518796992481</x:v>
      </x:c>
      <x:c r="K35" s="19" t="n">
        <x:f>IF(F35=0,"",G35/F35)</x:f>
        <x:v>0.04519822282980178</x:v>
      </x:c>
      <x:c r="L35" s="19" t="n">
        <x:f>IF(F35=0,"",H35/F35)</x:f>
        <x:v>0.04989747095010253</x:v>
      </x:c>
      <x:c r="M35" s="15" t="n">
        <x:f>D35-E35</x:f>
        <x:v>-1</x:v>
      </x:c>
    </x:row>
    <x:row r="36" ht="24" customHeight="1">
      <x:c r="A36" s="2" t="str">
        <x:v>P-031</x:v>
      </x:c>
      <x:c r="B36" s="14" t="n">
        <x:v>45839</x:v>
      </x:c>
      <x:c r="C36" s="16" t="n">
        <x:v>134</x:v>
      </x:c>
      <x:c r="D36" s="16" t="n">
        <x:v>3</x:v>
      </x:c>
      <x:c r="E36" s="16" t="n">
        <x:v>4</x:v>
      </x:c>
      <x:c r="F36" s="16" t="n">
        <x:v>23584</x:v>
      </x:c>
      <x:c r="G36" s="16" t="n">
        <x:v>1085</x:v>
      </x:c>
      <x:c r="H36" s="16" t="n">
        <x:v>1203</x:v>
      </x:c>
      <x:c r="I36" s="17" t="n">
        <x:v>623100</x:v>
      </x:c>
      <x:c r="J36" s="19" t="n">
        <x:f>IF(C36=0,"",E36/C36)</x:f>
        <x:v>0.029850746268656716</x:v>
      </x:c>
      <x:c r="K36" s="19" t="n">
        <x:f>IF(F36=0,"",G36/F36)</x:f>
        <x:v>0.046005766621438265</x:v>
      </x:c>
      <x:c r="L36" s="19" t="n">
        <x:f>IF(F36=0,"",H36/F36)</x:f>
        <x:v>0.051009158751696065</x:v>
      </x:c>
      <x:c r="M36" s="15" t="n">
        <x:f>D36-E36</x:f>
        <x:v>-1</x:v>
      </x:c>
    </x:row>
    <x:row r="37" ht="24" customHeight="1">
      <x:c r="A37" s="2" t="str">
        <x:v>P-032</x:v>
      </x:c>
      <x:c r="B37" s="14" t="n">
        <x:v>45870</x:v>
      </x:c>
      <x:c r="C37" s="16" t="n">
        <x:v>135</x:v>
      </x:c>
      <x:c r="D37" s="16" t="n">
        <x:v>3</x:v>
      </x:c>
      <x:c r="E37" s="16" t="n">
        <x:v>4</x:v>
      </x:c>
      <x:c r="F37" s="16" t="n">
        <x:v>23760</x:v>
      </x:c>
      <x:c r="G37" s="16" t="n">
        <x:v>1112</x:v>
      </x:c>
      <x:c r="H37" s="16" t="n">
        <x:v>1238</x:v>
      </x:c>
      <x:c r="I37" s="17" t="n">
        <x:v>629775</x:v>
      </x:c>
      <x:c r="J37" s="19" t="n">
        <x:f>IF(C37=0,"",E37/C37)</x:f>
        <x:v>0.02962962962962963</x:v>
      </x:c>
      <x:c r="K37" s="19" t="n">
        <x:f>IF(F37=0,"",G37/F37)</x:f>
        <x:v>0.0468013468013468</x:v>
      </x:c>
      <x:c r="L37" s="19" t="n">
        <x:f>IF(F37=0,"",H37/F37)</x:f>
        <x:v>0.052104377104377105</x:v>
      </x:c>
      <x:c r="M37" s="15" t="n">
        <x:f>D37-E37</x:f>
        <x:v>-1</x:v>
      </x:c>
    </x:row>
    <x:row r="38" ht="24" customHeight="1">
      <x:c r="A38" s="2" t="str">
        <x:v>P-033</x:v>
      </x:c>
      <x:c r="B38" s="14" t="n">
        <x:v>45901</x:v>
      </x:c>
      <x:c r="C38" s="16" t="n">
        <x:v>136</x:v>
      </x:c>
      <x:c r="D38" s="16" t="n">
        <x:v>4</x:v>
      </x:c>
      <x:c r="E38" s="16" t="n">
        <x:v>4</x:v>
      </x:c>
      <x:c r="F38" s="16" t="n">
        <x:v>23936</x:v>
      </x:c>
      <x:c r="G38" s="16" t="n">
        <x:v>1139</x:v>
      </x:c>
      <x:c r="H38" s="16" t="n">
        <x:v>1273</x:v>
      </x:c>
      <x:c r="I38" s="17" t="n">
        <x:v>636480</x:v>
      </x:c>
      <x:c r="J38" s="19" t="n">
        <x:f>IF(C38=0,"",E38/C38)</x:f>
        <x:v>0.029411764705882353</x:v>
      </x:c>
      <x:c r="K38" s="19" t="n">
        <x:f>IF(F38=0,"",G38/F38)</x:f>
        <x:v>0.04758522727272727</x:v>
      </x:c>
      <x:c r="L38" s="19" t="n">
        <x:f>IF(F38=0,"",H38/F38)</x:f>
        <x:v>0.053183489304812835</x:v>
      </x:c>
      <x:c r="M38" s="15" t="n">
        <x:f>D38-E38</x:f>
        <x:v>0</x:v>
      </x:c>
    </x:row>
    <x:row r="39" ht="24" customHeight="1">
      <x:c r="A39" s="2" t="str">
        <x:v>P-034</x:v>
      </x:c>
      <x:c r="B39" s="14" t="n">
        <x:v>45931</x:v>
      </x:c>
      <x:c r="C39" s="16" t="n">
        <x:v>136</x:v>
      </x:c>
      <x:c r="D39" s="16" t="n">
        <x:v>3</x:v>
      </x:c>
      <x:c r="E39" s="16" t="n">
        <x:v>4</x:v>
      </x:c>
      <x:c r="F39" s="16" t="n">
        <x:v>23936</x:v>
      </x:c>
      <x:c r="G39" s="16" t="n">
        <x:v>1159</x:v>
      </x:c>
      <x:c r="H39" s="16" t="n">
        <x:v>1300</x:v>
      </x:c>
      <x:c r="I39" s="17" t="n">
        <x:v>638520</x:v>
      </x:c>
      <x:c r="J39" s="19" t="n">
        <x:f>IF(C39=0,"",E39/C39)</x:f>
        <x:v>0.029411764705882353</x:v>
      </x:c>
      <x:c r="K39" s="19" t="n">
        <x:f>IF(F39=0,"",G39/F39)</x:f>
        <x:v>0.04842078877005348</x:v>
      </x:c>
      <x:c r="L39" s="19" t="n">
        <x:f>IF(F39=0,"",H39/F39)</x:f>
        <x:v>0.05431149732620321</x:v>
      </x:c>
      <x:c r="M39" s="15" t="n">
        <x:f>D39-E39</x:f>
        <x:v>-1</x:v>
      </x:c>
    </x:row>
    <x:row r="40" ht="24" customHeight="1">
      <x:c r="A40" s="2" t="str">
        <x:v>P-035</x:v>
      </x:c>
      <x:c r="B40" s="14" t="n">
        <x:v>45962</x:v>
      </x:c>
      <x:c r="C40" s="16" t="n">
        <x:v>137</x:v>
      </x:c>
      <x:c r="D40" s="16" t="n">
        <x:v>3</x:v>
      </x:c>
      <x:c r="E40" s="16" t="n">
        <x:v>4</x:v>
      </x:c>
      <x:c r="F40" s="16" t="n">
        <x:v>24112</x:v>
      </x:c>
      <x:c r="G40" s="16" t="n">
        <x:v>1186</x:v>
      </x:c>
      <x:c r="H40" s="16" t="n">
        <x:v>1336</x:v>
      </x:c>
      <x:c r="I40" s="17" t="n">
        <x:v>645270</x:v>
      </x:c>
      <x:c r="J40" s="19" t="n">
        <x:f>IF(C40=0,"",E40/C40)</x:f>
        <x:v>0.029197080291970802</x:v>
      </x:c>
      <x:c r="K40" s="19" t="n">
        <x:f>IF(F40=0,"",G40/F40)</x:f>
        <x:v>0.04918712674187127</x:v>
      </x:c>
      <x:c r="L40" s="19" t="n">
        <x:f>IF(F40=0,"",H40/F40)</x:f>
        <x:v>0.05540809555408095</x:v>
      </x:c>
      <x:c r="M40" s="15" t="n">
        <x:f>D40-E40</x:f>
        <x:v>-1</x:v>
      </x:c>
    </x:row>
    <x:row r="41" ht="24" customHeight="1">
      <x:c r="A41" s="2" t="str">
        <x:v>P-036</x:v>
      </x:c>
      <x:c r="B41" s="14" t="n">
        <x:v>45992</x:v>
      </x:c>
      <x:c r="C41" s="16" t="n">
        <x:v>138</x:v>
      </x:c>
      <x:c r="D41" s="16" t="n">
        <x:v>3</x:v>
      </x:c>
      <x:c r="E41" s="16" t="n">
        <x:v>4</x:v>
      </x:c>
      <x:c r="F41" s="16" t="n">
        <x:v>24288</x:v>
      </x:c>
      <x:c r="G41" s="16" t="n">
        <x:v>1214</x:v>
      </x:c>
      <x:c r="H41" s="16" t="n">
        <x:v>1372</x:v>
      </x:c>
      <x:c r="I41" s="17" t="n">
        <x:v>652050</x:v>
      </x:c>
      <x:c r="J41" s="19" t="n">
        <x:f>IF(C41=0,"",E41/C41)</x:f>
        <x:v>0.028985507246376812</x:v>
      </x:c>
      <x:c r="K41" s="19" t="n">
        <x:f>IF(F41=0,"",G41/F41)</x:f>
        <x:v>0.04998353096179183</x:v>
      </x:c>
      <x:c r="L41" s="19" t="n">
        <x:f>IF(F41=0,"",H41/F41)</x:f>
        <x:v>0.05648880105401845</x:v>
      </x:c>
      <x:c r="M41" s="15" t="n">
        <x:f>D41-E41</x:f>
        <x:v>-1</x:v>
      </x:c>
    </x:row>
  </x:sheetData>
  <x:pageMargins left="0.7" right="0.7" top="0.75" bottom="0.75" header="0.3" footer="0.3"/>
  <x:tableParts count="1">
    <x:tablePart xmlns:r="http://schemas.openxmlformats.org/officeDocument/2006/relationships" r:id="Rccb579c84bf04f42"/>
  </x:tableParts>
</x:worksheet>
</file>

<file path=xl/worksheets/sheet5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3" hidden="0" customWidth="1"/>
    <x:col min="2" max="2" width="13" hidden="0" customWidth="1"/>
    <x:col min="3" max="3" width="18" hidden="0" customWidth="1"/>
    <x:col min="4" max="4" width="21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</x:cols>
  <x:sheetData>
    <x:row r="1" ht="32" customHeight="1">
      <x:c r="A1" s="4" t="str">
        <x:v>Estoque por mês</x:v>
      </x:c>
      <x:c r="B1" s="1"/>
      <x:c r="C1" s="1"/>
      <x:c r="D1" s="1"/>
      <x:c r="E1" s="1"/>
      <x:c r="F1" s="1"/>
      <x:c r="G1" s="1"/>
      <x:c r="H1" s="1"/>
      <x:c r="I1" s="1"/>
      <x:c r="J1" s="1"/>
    </x:row>
    <x:row r="2" ht="22" customHeight="1">
      <x:c r="A2" s="5" t="str">
        <x:v>estoque-mensal.csv · NC-2026.1 · 36 registros fictícios · colunas finais calculadas</x:v>
      </x:c>
      <x:c r="B2" s="1"/>
      <x:c r="C2" s="1"/>
      <x:c r="D2" s="1"/>
      <x:c r="E2" s="1"/>
      <x:c r="F2" s="1"/>
      <x:c r="G2" s="1"/>
      <x:c r="H2" s="1"/>
      <x:c r="I2" s="1"/>
      <x:c r="J2" s="1"/>
    </x:row>
    <x:row r="3" ht="10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</x:row>
    <x:row r="4" ht="10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</x:row>
    <x:row r="5" ht="46" customHeight="1">
      <x:c r="A5" s="11" t="str">
        <x:v>id</x:v>
      </x:c>
      <x:c r="B5" s="12" t="str">
        <x:v>mes</x:v>
      </x:c>
      <x:c r="C5" s="12" t="str">
        <x:v>cmv_mes</x:v>
      </x:c>
      <x:c r="D5" s="12" t="str">
        <x:v>estoque_medio_custo</x:v>
      </x:c>
      <x:c r="E5" s="12" t="str">
        <x:v>skus_catalogo</x:v>
      </x:c>
      <x:c r="F5" s="12" t="str">
        <x:v>skus_sem_estoque</x:v>
      </x:c>
      <x:c r="G5" s="12" t="str">
        <x:v>giro_mensal</x:v>
      </x:c>
      <x:c r="H5" s="12" t="str">
        <x:v>ruptura_skus</x:v>
      </x:c>
      <x:c r="I5" s="12" t="str">
        <x:v>cmv_vendas</x:v>
      </x:c>
      <x:c r="J5" s="13" t="str">
        <x:v>diferenca_cmv</x:v>
      </x:c>
    </x:row>
    <x:row r="6" ht="24" customHeight="1">
      <x:c r="A6" s="2" t="str">
        <x:v>E-001</x:v>
      </x:c>
      <x:c r="B6" s="14" t="n">
        <x:v>44927</x:v>
      </x:c>
      <x:c r="C6" s="17" t="n">
        <x:v>478448.06</x:v>
      </x:c>
      <x:c r="D6" s="17" t="n">
        <x:v>1004740.93</x:v>
      </x:c>
      <x:c r="E6" s="16" t="n">
        <x:v>1280</x:v>
      </x:c>
      <x:c r="F6" s="16" t="n">
        <x:v>33</x:v>
      </x:c>
      <x:c r="G6" s="21" t="n">
        <x:f>IF(D6=0,"",C6/D6)</x:f>
        <x:v>0.476190474294702</x:v>
      </x:c>
      <x:c r="H6" s="19" t="n">
        <x:f>IF(E6=0,"",F6/E6)</x:f>
        <x:v>0.02578125</x:v>
      </x:c>
      <x:c r="I6" s="18" t="n">
        <x:f>SUMIF('Vendas'!$A$6:$A$437,B6,'Vendas'!$J$6:$J$437)</x:f>
        <x:v>478448.05999999994</x:v>
      </x:c>
      <x:c r="J6" s="18" t="n">
        <x:f>ROUND(C6-I6,2)</x:f>
        <x:v>0</x:v>
      </x:c>
    </x:row>
    <x:row r="7" ht="24" customHeight="1">
      <x:c r="A7" s="2" t="str">
        <x:v>E-002</x:v>
      </x:c>
      <x:c r="B7" s="14" t="n">
        <x:v>44958</x:v>
      </x:c>
      <x:c r="C7" s="17" t="n">
        <x:v>449398.92</x:v>
      </x:c>
      <x:c r="D7" s="17" t="n">
        <x:v>955871.5</x:v>
      </x:c>
      <x:c r="E7" s="16" t="n">
        <x:v>1280</x:v>
      </x:c>
      <x:c r="F7" s="16" t="n">
        <x:v>35</x:v>
      </x:c>
      <x:c r="G7" s="21" t="n">
        <x:f>IF(D7=0,"",C7/D7)</x:f>
        <x:v>0.4701457465778611</x:v>
      </x:c>
      <x:c r="H7" s="19" t="n">
        <x:f>IF(E7=0,"",F7/E7)</x:f>
        <x:v>0.02734375</x:v>
      </x:c>
      <x:c r="I7" s="18" t="n">
        <x:f>SUMIF('Vendas'!$A$6:$A$437,B7,'Vendas'!$J$6:$J$437)</x:f>
        <x:v>449398.9199999999</x:v>
      </x:c>
      <x:c r="J7" s="18" t="n">
        <x:f>ROUND(C7-I7,2)</x:f>
        <x:v>0</x:v>
      </x:c>
    </x:row>
    <x:row r="8" ht="24" customHeight="1">
      <x:c r="A8" s="2" t="str">
        <x:v>E-003</x:v>
      </x:c>
      <x:c r="B8" s="14" t="n">
        <x:v>44986</x:v>
      </x:c>
      <x:c r="C8" s="17" t="n">
        <x:v>506306.77</x:v>
      </x:c>
      <x:c r="D8" s="17" t="n">
        <x:v>1090584.78</x:v>
      </x:c>
      <x:c r="E8" s="16" t="n">
        <x:v>1280</x:v>
      </x:c>
      <x:c r="F8" s="16" t="n">
        <x:v>36</x:v>
      </x:c>
      <x:c r="G8" s="21" t="n">
        <x:f>IF(D8=0,"",C8/D8)</x:f>
        <x:v>0.46425255448732744</x:v>
      </x:c>
      <x:c r="H8" s="19" t="n">
        <x:f>IF(E8=0,"",F8/E8)</x:f>
        <x:v>0.028125</x:v>
      </x:c>
      <x:c r="I8" s="18" t="n">
        <x:f>SUMIF('Vendas'!$A$6:$A$437,B8,'Vendas'!$J$6:$J$437)</x:f>
        <x:v>506306.7700000001</x:v>
      </x:c>
      <x:c r="J8" s="18" t="n">
        <x:f>ROUND(C8-I8,2)</x:f>
        <x:v>0</x:v>
      </x:c>
    </x:row>
    <x:row r="9" ht="24" customHeight="1">
      <x:c r="A9" s="2" t="str">
        <x:v>E-004</x:v>
      </x:c>
      <x:c r="B9" s="14" t="n">
        <x:v>45017</x:v>
      </x:c>
      <x:c r="C9" s="17" t="n">
        <x:v>516954.83</x:v>
      </x:c>
      <x:c r="D9" s="17" t="n">
        <x:v>1127478.48</x:v>
      </x:c>
      <x:c r="E9" s="16" t="n">
        <x:v>1280</x:v>
      </x:c>
      <x:c r="F9" s="16" t="n">
        <x:v>38</x:v>
      </x:c>
      <x:c r="G9" s="21" t="n">
        <x:f>IF(D9=0,"",C9/D9)</x:f>
        <x:v>0.45850527453082746</x:v>
      </x:c>
      <x:c r="H9" s="19" t="n">
        <x:f>IF(E9=0,"",F9/E9)</x:f>
        <x:v>0.0296875</x:v>
      </x:c>
      <x:c r="I9" s="18" t="n">
        <x:f>SUMIF('Vendas'!$A$6:$A$437,B9,'Vendas'!$J$6:$J$437)</x:f>
        <x:v>516954.83</x:v>
      </x:c>
      <x:c r="J9" s="18" t="n">
        <x:f>ROUND(C9-I9,2)</x:f>
        <x:v>0</x:v>
      </x:c>
    </x:row>
    <x:row r="10" ht="24" customHeight="1">
      <x:c r="A10" s="2" t="str">
        <x:v>E-005</x:v>
      </x:c>
      <x:c r="B10" s="14" t="n">
        <x:v>45047</x:v>
      </x:c>
      <x:c r="C10" s="17" t="n">
        <x:v>522408.84</x:v>
      </x:c>
      <x:c r="D10" s="17" t="n">
        <x:v>1153478.72</x:v>
      </x:c>
      <x:c r="E10" s="16" t="n">
        <x:v>1280</x:v>
      </x:c>
      <x:c r="F10" s="16" t="n">
        <x:v>39</x:v>
      </x:c>
      <x:c r="G10" s="21" t="n">
        <x:f>IF(D10=0,"",C10/D10)</x:f>
        <x:v>0.4528985502220622</x:v>
      </x:c>
      <x:c r="H10" s="19" t="n">
        <x:f>IF(E10=0,"",F10/E10)</x:f>
        <x:v>0.03046875</x:v>
      </x:c>
      <x:c r="I10" s="18" t="n">
        <x:f>SUMIF('Vendas'!$A$6:$A$437,B10,'Vendas'!$J$6:$J$437)</x:f>
        <x:v>522408.84</x:v>
      </x:c>
      <x:c r="J10" s="18" t="n">
        <x:f>ROUND(C10-I10,2)</x:f>
        <x:v>0</x:v>
      </x:c>
    </x:row>
    <x:row r="11" ht="24" customHeight="1">
      <x:c r="A11" s="2" t="str">
        <x:v>E-006</x:v>
      </x:c>
      <x:c r="B11" s="14" t="n">
        <x:v>45078</x:v>
      </x:c>
      <x:c r="C11" s="17" t="n">
        <x:v>553387.26</x:v>
      </x:c>
      <x:c r="D11" s="17" t="n">
        <x:v>1236820.53</x:v>
      </x:c>
      <x:c r="E11" s="16" t="n">
        <x:v>1280</x:v>
      </x:c>
      <x:c r="F11" s="16" t="n">
        <x:v>40</x:v>
      </x:c>
      <x:c r="G11" s="21" t="n">
        <x:f>IF(D11=0,"",C11/D11)</x:f>
        <x:v>0.4474272916540284</x:v>
      </x:c>
      <x:c r="H11" s="19" t="n">
        <x:f>IF(E11=0,"",F11/E11)</x:f>
        <x:v>0.03125</x:v>
      </x:c>
      <x:c r="I11" s="18" t="n">
        <x:f>SUMIF('Vendas'!$A$6:$A$437,B11,'Vendas'!$J$6:$J$437)</x:f>
        <x:v>553387.2599999999</x:v>
      </x:c>
      <x:c r="J11" s="18" t="n">
        <x:f>ROUND(C11-I11,2)</x:f>
        <x:v>0</x:v>
      </x:c>
    </x:row>
    <x:row r="12" ht="24" customHeight="1">
      <x:c r="A12" s="2" t="str">
        <x:v>E-007</x:v>
      </x:c>
      <x:c r="B12" s="14" t="n">
        <x:v>45108</x:v>
      </x:c>
      <x:c r="C12" s="17" t="n">
        <x:v>530211.2</x:v>
      </x:c>
      <x:c r="D12" s="17" t="n">
        <x:v>1199337.73</x:v>
      </x:c>
      <x:c r="E12" s="16" t="n">
        <x:v>1280</x:v>
      </x:c>
      <x:c r="F12" s="16" t="n">
        <x:v>42</x:v>
      </x:c>
      <x:c r="G12" s="21" t="n">
        <x:f>IF(D12=0,"",C12/D12)</x:f>
        <x:v>0.4420866506050802</x:v>
      </x:c>
      <x:c r="H12" s="19" t="n">
        <x:f>IF(E12=0,"",F12/E12)</x:f>
        <x:v>0.0328125</x:v>
      </x:c>
      <x:c r="I12" s="18" t="n">
        <x:f>SUMIF('Vendas'!$A$6:$A$437,B12,'Vendas'!$J$6:$J$437)</x:f>
        <x:v>530211.2000000001</x:v>
      </x:c>
      <x:c r="J12" s="18" t="n">
        <x:f>ROUND(C12-I12,2)</x:f>
        <x:v>0</x:v>
      </x:c>
    </x:row>
    <x:row r="13" ht="24" customHeight="1">
      <x:c r="A13" s="2" t="str">
        <x:v>E-008</x:v>
      </x:c>
      <x:c r="B13" s="14" t="n">
        <x:v>45139</x:v>
      </x:c>
      <x:c r="C13" s="17" t="n">
        <x:v>537834.44</x:v>
      </x:c>
      <x:c r="D13" s="17" t="n">
        <x:v>1231103.03</x:v>
      </x:c>
      <x:c r="E13" s="16" t="n">
        <x:v>1280</x:v>
      </x:c>
      <x:c r="F13" s="16" t="n">
        <x:v>43</x:v>
      </x:c>
      <x:c r="G13" s="21" t="n">
        <x:f>IF(D13=0,"",C13/D13)</x:f>
        <x:v>0.4368719976263887</x:v>
      </x:c>
      <x:c r="H13" s="19" t="n">
        <x:f>IF(E13=0,"",F13/E13)</x:f>
        <x:v>0.03359375</x:v>
      </x:c>
      <x:c r="I13" s="18" t="n">
        <x:f>SUMIF('Vendas'!$A$6:$A$437,B13,'Vendas'!$J$6:$J$437)</x:f>
        <x:v>537834.4400000001</x:v>
      </x:c>
      <x:c r="J13" s="18" t="n">
        <x:f>ROUND(C13-I13,2)</x:f>
        <x:v>0</x:v>
      </x:c>
    </x:row>
    <x:row r="14" ht="24" customHeight="1">
      <x:c r="A14" s="2" t="str">
        <x:v>E-009</x:v>
      </x:c>
      <x:c r="B14" s="14" t="n">
        <x:v>45170</x:v>
      </x:c>
      <x:c r="C14" s="17" t="n">
        <x:v>580615.59</x:v>
      </x:c>
      <x:c r="D14" s="17" t="n">
        <x:v>1344705.71</x:v>
      </x:c>
      <x:c r="E14" s="16" t="n">
        <x:v>1280</x:v>
      </x:c>
      <x:c r="F14" s="16" t="n">
        <x:v>45</x:v>
      </x:c>
      <x:c r="G14" s="21" t="n">
        <x:f>IF(D14=0,"",C14/D14)</x:f>
        <x:v>0.43177892804515566</x:v>
      </x:c>
      <x:c r="H14" s="19" t="n">
        <x:f>IF(E14=0,"",F14/E14)</x:f>
        <x:v>0.03515625</x:v>
      </x:c>
      <x:c r="I14" s="18" t="n">
        <x:f>SUMIF('Vendas'!$A$6:$A$437,B14,'Vendas'!$J$6:$J$437)</x:f>
        <x:v>580615.5899999999</x:v>
      </x:c>
      <x:c r="J14" s="18" t="n">
        <x:f>ROUND(C14-I14,2)</x:f>
        <x:v>0</x:v>
      </x:c>
    </x:row>
    <x:row r="15" ht="24" customHeight="1">
      <x:c r="A15" s="2" t="str">
        <x:v>E-010</x:v>
      </x:c>
      <x:c r="B15" s="14" t="n">
        <x:v>45200</x:v>
      </x:c>
      <x:c r="C15" s="17" t="n">
        <x:v>583189.02</x:v>
      </x:c>
      <x:c r="D15" s="17" t="n">
        <x:v>1366411.87</x:v>
      </x:c>
      <x:c r="E15" s="16" t="n">
        <x:v>1280</x:v>
      </x:c>
      <x:c r="F15" s="16" t="n">
        <x:v>46</x:v>
      </x:c>
      <x:c r="G15" s="21" t="n">
        <x:f>IF(D15=0,"",C15/D15)</x:f>
        <x:v>0.42680324491033583</x:v>
      </x:c>
      <x:c r="H15" s="19" t="n">
        <x:f>IF(E15=0,"",F15/E15)</x:f>
        <x:v>0.0359375</x:v>
      </x:c>
      <x:c r="I15" s="18" t="n">
        <x:f>SUMIF('Vendas'!$A$6:$A$437,B15,'Vendas'!$J$6:$J$437)</x:f>
        <x:v>583189.02</x:v>
      </x:c>
      <x:c r="J15" s="18" t="n">
        <x:f>ROUND(C15-I15,2)</x:f>
        <x:v>0</x:v>
      </x:c>
    </x:row>
    <x:row r="16" ht="24" customHeight="1">
      <x:c r="A16" s="2" t="str">
        <x:v>E-011</x:v>
      </x:c>
      <x:c r="B16" s="14" t="n">
        <x:v>45231</x:v>
      </x:c>
      <x:c r="C16" s="17" t="n">
        <x:v>788909.82</x:v>
      </x:c>
      <x:c r="D16" s="17" t="n">
        <x:v>1869716.27</x:v>
      </x:c>
      <x:c r="E16" s="16" t="n">
        <x:v>1280</x:v>
      </x:c>
      <x:c r="F16" s="16" t="n">
        <x:v>47</x:v>
      </x:c>
      <x:c r="G16" s="21" t="n">
        <x:f>IF(D16=0,"",C16/D16)</x:f>
        <x:v>0.4219409290373239</x:v>
      </x:c>
      <x:c r="H16" s="19" t="n">
        <x:f>IF(E16=0,"",F16/E16)</x:f>
        <x:v>0.03671875</x:v>
      </x:c>
      <x:c r="I16" s="18" t="n">
        <x:f>SUMIF('Vendas'!$A$6:$A$437,B16,'Vendas'!$J$6:$J$437)</x:f>
        <x:v>788909.82</x:v>
      </x:c>
      <x:c r="J16" s="18" t="n">
        <x:f>ROUND(C16-I16,2)</x:f>
        <x:v>0</x:v>
      </x:c>
    </x:row>
    <x:row r="17" ht="24" customHeight="1">
      <x:c r="A17" s="2" t="str">
        <x:v>E-012</x:v>
      </x:c>
      <x:c r="B17" s="14" t="n">
        <x:v>45261</x:v>
      </x:c>
      <x:c r="C17" s="17" t="n">
        <x:v>816348.03</x:v>
      </x:c>
      <x:c r="D17" s="17" t="n">
        <x:v>1956786.23</x:v>
      </x:c>
      <x:c r="E17" s="16" t="n">
        <x:v>1280</x:v>
      </x:c>
      <x:c r="F17" s="16" t="n">
        <x:v>49</x:v>
      </x:c>
      <x:c r="G17" s="21" t="n">
        <x:f>IF(D17=0,"",C17/D17)</x:f>
        <x:v>0.4171881514108979</x:v>
      </x:c>
      <x:c r="H17" s="19" t="n">
        <x:f>IF(E17=0,"",F17/E17)</x:f>
        <x:v>0.03828125</x:v>
      </x:c>
      <x:c r="I17" s="18" t="n">
        <x:f>SUMIF('Vendas'!$A$6:$A$437,B17,'Vendas'!$J$6:$J$437)</x:f>
        <x:v>816348.0300000001</x:v>
      </x:c>
      <x:c r="J17" s="18" t="n">
        <x:f>ROUND(C17-I17,2)</x:f>
        <x:v>0</x:v>
      </x:c>
    </x:row>
    <x:row r="18" ht="24" customHeight="1">
      <x:c r="A18" s="2" t="str">
        <x:v>E-013</x:v>
      </x:c>
      <x:c r="B18" s="14" t="n">
        <x:v>45292</x:v>
      </x:c>
      <x:c r="C18" s="17" t="n">
        <x:v>639178.21</x:v>
      </x:c>
      <x:c r="D18" s="17" t="n">
        <x:v>1549367.98</x:v>
      </x:c>
      <x:c r="E18" s="16" t="n">
        <x:v>1280</x:v>
      </x:c>
      <x:c r="F18" s="16" t="n">
        <x:v>50</x:v>
      </x:c>
      <x:c r="G18" s="21" t="n">
        <x:f>IF(D18=0,"",C18/D18)</x:f>
        <x:v>0.4125412544023273</x:v>
      </x:c>
      <x:c r="H18" s="19" t="n">
        <x:f>IF(E18=0,"",F18/E18)</x:f>
        <x:v>0.0390625</x:v>
      </x:c>
      <x:c r="I18" s="18" t="n">
        <x:f>SUMIF('Vendas'!$A$6:$A$437,B18,'Vendas'!$J$6:$J$437)</x:f>
        <x:v>639178.2100000001</x:v>
      </x:c>
      <x:c r="J18" s="18" t="n">
        <x:f>ROUND(C18-I18,2)</x:f>
        <x:v>0</x:v>
      </x:c>
    </x:row>
    <x:row r="19" ht="24" customHeight="1">
      <x:c r="A19" s="2" t="str">
        <x:v>E-014</x:v>
      </x:c>
      <x:c r="B19" s="14" t="n">
        <x:v>45323</x:v>
      </x:c>
      <x:c r="C19" s="17" t="n">
        <x:v>591771.23</x:v>
      </x:c>
      <x:c r="D19" s="17" t="n">
        <x:v>1450431.28</x:v>
      </x:c>
      <x:c r="E19" s="16" t="n">
        <x:v>1280</x:v>
      </x:c>
      <x:c r="F19" s="16" t="n">
        <x:v>52</x:v>
      </x:c>
      <x:c r="G19" s="21" t="n">
        <x:f>IF(D19=0,"",C19/D19)</x:f>
        <x:v>0.4079967373566295</x:v>
      </x:c>
      <x:c r="H19" s="19" t="n">
        <x:f>IF(E19=0,"",F19/E19)</x:f>
        <x:v>0.040625</x:v>
      </x:c>
      <x:c r="I19" s="18" t="n">
        <x:f>SUMIF('Vendas'!$A$6:$A$437,B19,'Vendas'!$J$6:$J$437)</x:f>
        <x:v>591771.23</x:v>
      </x:c>
      <x:c r="J19" s="18" t="n">
        <x:f>ROUND(C19-I19,2)</x:f>
        <x:v>0</x:v>
      </x:c>
    </x:row>
    <x:row r="20" ht="24" customHeight="1">
      <x:c r="A20" s="2" t="str">
        <x:v>E-015</x:v>
      </x:c>
      <x:c r="B20" s="14" t="n">
        <x:v>45352</x:v>
      </x:c>
      <x:c r="C20" s="17" t="n">
        <x:v>647826.7</x:v>
      </x:c>
      <x:c r="D20" s="17" t="n">
        <x:v>1605314.56</x:v>
      </x:c>
      <x:c r="E20" s="16" t="n">
        <x:v>1280</x:v>
      </x:c>
      <x:c r="F20" s="16" t="n">
        <x:v>53</x:v>
      </x:c>
      <x:c r="G20" s="21" t="n">
        <x:f>IF(D20=0,"",C20/D20)</x:f>
        <x:v>0.40355125166247785</x:v>
      </x:c>
      <x:c r="H20" s="19" t="n">
        <x:f>IF(E20=0,"",F20/E20)</x:f>
        <x:v>0.04140625</x:v>
      </x:c>
      <x:c r="I20" s="18" t="n">
        <x:f>SUMIF('Vendas'!$A$6:$A$437,B20,'Vendas'!$J$6:$J$437)</x:f>
        <x:v>647826.7</x:v>
      </x:c>
      <x:c r="J20" s="18" t="n">
        <x:f>ROUND(C20-I20,2)</x:f>
        <x:v>0</x:v>
      </x:c>
    </x:row>
    <x:row r="21" ht="24" customHeight="1">
      <x:c r="A21" s="2" t="str">
        <x:v>E-016</x:v>
      </x:c>
      <x:c r="B21" s="14" t="n">
        <x:v>45383</x:v>
      </x:c>
      <x:c r="C21" s="17" t="n">
        <x:v>667443.41</x:v>
      </x:c>
      <x:c r="D21" s="17" t="n">
        <x:v>1671945.74</x:v>
      </x:c>
      <x:c r="E21" s="16" t="n">
        <x:v>1280</x:v>
      </x:c>
      <x:c r="F21" s="16" t="n">
        <x:v>54</x:v>
      </x:c>
      <x:c r="G21" s="21" t="n">
        <x:f>IF(D21=0,"",C21/D21)</x:f>
        <x:v>0.39920159729585486</x:v>
      </x:c>
      <x:c r="H21" s="19" t="n">
        <x:f>IF(E21=0,"",F21/E21)</x:f>
        <x:v>0.0421875</x:v>
      </x:c>
      <x:c r="I21" s="18" t="n">
        <x:f>SUMIF('Vendas'!$A$6:$A$437,B21,'Vendas'!$J$6:$J$437)</x:f>
        <x:v>667443.41</x:v>
      </x:c>
      <x:c r="J21" s="18" t="n">
        <x:f>ROUND(C21-I21,2)</x:f>
        <x:v>0</x:v>
      </x:c>
    </x:row>
    <x:row r="22" ht="24" customHeight="1">
      <x:c r="A22" s="2" t="str">
        <x:v>E-017</x:v>
      </x:c>
      <x:c r="B22" s="14" t="n">
        <x:v>45413</x:v>
      </x:c>
      <x:c r="C22" s="17" t="n">
        <x:v>671145.28</x:v>
      </x:c>
      <x:c r="D22" s="17" t="n">
        <x:v>1699339.85</x:v>
      </x:c>
      <x:c r="E22" s="16" t="n">
        <x:v>1280</x:v>
      </x:c>
      <x:c r="F22" s="16" t="n">
        <x:v>56</x:v>
      </x:c>
      <x:c r="G22" s="21" t="n">
        <x:f>IF(D22=0,"",C22/D22)</x:f>
        <x:v>0.3949447074992092</x:v>
      </x:c>
      <x:c r="H22" s="19" t="n">
        <x:f>IF(E22=0,"",F22/E22)</x:f>
        <x:v>0.04375</x:v>
      </x:c>
      <x:c r="I22" s="18" t="n">
        <x:f>SUMIF('Vendas'!$A$6:$A$437,B22,'Vendas'!$J$6:$J$437)</x:f>
        <x:v>671145.2799999999</x:v>
      </x:c>
      <x:c r="J22" s="18" t="n">
        <x:f>ROUND(C22-I22,2)</x:f>
        <x:v>0</x:v>
      </x:c>
    </x:row>
    <x:row r="23" ht="24" customHeight="1">
      <x:c r="A23" s="2" t="str">
        <x:v>E-018</x:v>
      </x:c>
      <x:c r="B23" s="14" t="n">
        <x:v>45444</x:v>
      </x:c>
      <x:c r="C23" s="17" t="n">
        <x:v>666487.36</x:v>
      </x:c>
      <x:c r="D23" s="17" t="n">
        <x:v>1705541.15</x:v>
      </x:c>
      <x:c r="E23" s="16" t="n">
        <x:v>1280</x:v>
      </x:c>
      <x:c r="F23" s="16" t="n">
        <x:v>57</x:v>
      </x:c>
      <x:c r="G23" s="21" t="n">
        <x:f>IF(D23=0,"",C23/D23)</x:f>
        <x:v>0.3907776484900408</x:v>
      </x:c>
      <x:c r="H23" s="19" t="n">
        <x:f>IF(E23=0,"",F23/E23)</x:f>
        <x:v>0.04453125</x:v>
      </x:c>
      <x:c r="I23" s="18" t="n">
        <x:f>SUMIF('Vendas'!$A$6:$A$437,B23,'Vendas'!$J$6:$J$437)</x:f>
        <x:v>666487.3599999999</x:v>
      </x:c>
      <x:c r="J23" s="18" t="n">
        <x:f>ROUND(C23-I23,2)</x:f>
        <x:v>0</x:v>
      </x:c>
    </x:row>
    <x:row r="24" ht="24" customHeight="1">
      <x:c r="A24" s="2" t="str">
        <x:v>E-019</x:v>
      </x:c>
      <x:c r="B24" s="14" t="n">
        <x:v>45474</x:v>
      </x:c>
      <x:c r="C24" s="17" t="n">
        <x:v>708046.85</x:v>
      </x:c>
      <x:c r="D24" s="17" t="n">
        <x:v>1831009.15</x:v>
      </x:c>
      <x:c r="E24" s="16" t="n">
        <x:v>1280</x:v>
      </x:c>
      <x:c r="F24" s="16" t="n">
        <x:v>59</x:v>
      </x:c>
      <x:c r="G24" s="21" t="n">
        <x:f>IF(D24=0,"",C24/D24)</x:f>
        <x:v>0.38669760334075887</x:v>
      </x:c>
      <x:c r="H24" s="19" t="n">
        <x:f>IF(E24=0,"",F24/E24)</x:f>
        <x:v>0.04609375</x:v>
      </x:c>
      <x:c r="I24" s="18" t="n">
        <x:f>SUMIF('Vendas'!$A$6:$A$437,B24,'Vendas'!$J$6:$J$437)</x:f>
        <x:v>708046.8500000001</x:v>
      </x:c>
      <x:c r="J24" s="18" t="n">
        <x:f>ROUND(C24-I24,2)</x:f>
        <x:v>0</x:v>
      </x:c>
    </x:row>
    <x:row r="25" ht="24" customHeight="1">
      <x:c r="A25" s="2" t="str">
        <x:v>E-020</x:v>
      </x:c>
      <x:c r="B25" s="14" t="n">
        <x:v>45505</x:v>
      </x:c>
      <x:c r="C25" s="17" t="n">
        <x:v>717353.6</x:v>
      </x:c>
      <x:c r="D25" s="17" t="n">
        <x:v>1874444.96</x:v>
      </x:c>
      <x:c r="E25" s="16" t="n">
        <x:v>1280</x:v>
      </x:c>
      <x:c r="F25" s="16" t="n">
        <x:v>60</x:v>
      </x:c>
      <x:c r="G25" s="21" t="n">
        <x:f>IF(D25=0,"",C25/D25)</x:f>
        <x:v>0.38270187458585075</x:v>
      </x:c>
      <x:c r="H25" s="19" t="n">
        <x:f>IF(E25=0,"",F25/E25)</x:f>
        <x:v>0.046875</x:v>
      </x:c>
      <x:c r="I25" s="18" t="n">
        <x:f>SUMIF('Vendas'!$A$6:$A$437,B25,'Vendas'!$J$6:$J$437)</x:f>
        <x:v>717353.6000000001</x:v>
      </x:c>
      <x:c r="J25" s="18" t="n">
        <x:f>ROUND(C25-I25,2)</x:f>
        <x:v>0</x:v>
      </x:c>
    </x:row>
    <x:row r="26" ht="24" customHeight="1">
      <x:c r="A26" s="2" t="str">
        <x:v>E-021</x:v>
      </x:c>
      <x:c r="B26" s="14" t="n">
        <x:v>45536</x:v>
      </x:c>
      <x:c r="C26" s="17" t="n">
        <x:v>726147</x:v>
      </x:c>
      <x:c r="D26" s="17" t="n">
        <x:v>1917028.08</x:v>
      </x:c>
      <x:c r="E26" s="16" t="n">
        <x:v>1280</x:v>
      </x:c>
      <x:c r="F26" s="16" t="n">
        <x:v>61</x:v>
      </x:c>
      <x:c r="G26" s="21" t="n">
        <x:f>IF(D26=0,"",C26/D26)</x:f>
        <x:v>0.3787878787878788</x:v>
      </x:c>
      <x:c r="H26" s="19" t="n">
        <x:f>IF(E26=0,"",F26/E26)</x:f>
        <x:v>0.04765625</x:v>
      </x:c>
      <x:c r="I26" s="18" t="n">
        <x:f>SUMIF('Vendas'!$A$6:$A$437,B26,'Vendas'!$J$6:$J$437)</x:f>
        <x:v>726147</x:v>
      </x:c>
      <x:c r="J26" s="18" t="n">
        <x:f>ROUND(C26-I26,2)</x:f>
        <x:v>0</x:v>
      </x:c>
    </x:row>
    <x:row r="27" ht="24" customHeight="1">
      <x:c r="A27" s="2" t="str">
        <x:v>E-022</x:v>
      </x:c>
      <x:c r="B27" s="14" t="n">
        <x:v>45566</x:v>
      </x:c>
      <x:c r="C27" s="17" t="n">
        <x:v>743173.86</x:v>
      </x:c>
      <x:c r="D27" s="17" t="n">
        <x:v>1982044.68</x:v>
      </x:c>
      <x:c r="E27" s="16" t="n">
        <x:v>1280</x:v>
      </x:c>
      <x:c r="F27" s="16" t="n">
        <x:v>63</x:v>
      </x:c>
      <x:c r="G27" s="21" t="n">
        <x:f>IF(D27=0,"",C27/D27)</x:f>
        <x:v>0.3749531317326308</x:v>
      </x:c>
      <x:c r="H27" s="19" t="n">
        <x:f>IF(E27=0,"",F27/E27)</x:f>
        <x:v>0.04921875</x:v>
      </x:c>
      <x:c r="I27" s="18" t="n">
        <x:f>SUMIF('Vendas'!$A$6:$A$437,B27,'Vendas'!$J$6:$J$437)</x:f>
        <x:v>743173.8600000002</x:v>
      </x:c>
      <x:c r="J27" s="18" t="n">
        <x:f>ROUND(C27-I27,2)</x:f>
        <x:v>0</x:v>
      </x:c>
    </x:row>
    <x:row r="28" ht="24" customHeight="1">
      <x:c r="A28" s="2" t="str">
        <x:v>E-023</x:v>
      </x:c>
      <x:c r="B28" s="14" t="n">
        <x:v>45597</x:v>
      </x:c>
      <x:c r="C28" s="17" t="n">
        <x:v>965910.67</x:v>
      </x:c>
      <x:c r="D28" s="17" t="n">
        <x:v>2602163.34</x:v>
      </x:c>
      <x:c r="E28" s="16" t="n">
        <x:v>1280</x:v>
      </x:c>
      <x:c r="F28" s="16" t="n">
        <x:v>64</x:v>
      </x:c>
      <x:c r="G28" s="21" t="n">
        <x:f>IF(D28=0,"",C28/D28)</x:f>
        <x:v>0.37119524941120724</x:v>
      </x:c>
      <x:c r="H28" s="19" t="n">
        <x:f>IF(E28=0,"",F28/E28)</x:f>
        <x:v>0.05</x:v>
      </x:c>
      <x:c r="I28" s="18" t="n">
        <x:f>SUMIF('Vendas'!$A$6:$A$437,B28,'Vendas'!$J$6:$J$437)</x:f>
        <x:v>965910.6699999998</x:v>
      </x:c>
      <x:c r="J28" s="18" t="n">
        <x:f>ROUND(C28-I28,2)</x:f>
        <x:v>0</x:v>
      </x:c>
    </x:row>
    <x:row r="29" ht="24" customHeight="1">
      <x:c r="A29" s="2" t="str">
        <x:v>E-024</x:v>
      </x:c>
      <x:c r="B29" s="14" t="n">
        <x:v>45627</x:v>
      </x:c>
      <x:c r="C29" s="17" t="n">
        <x:v>1004175.8</x:v>
      </x:c>
      <x:c r="D29" s="17" t="n">
        <x:v>2732362.35</x:v>
      </x:c>
      <x:c r="E29" s="16" t="n">
        <x:v>1280</x:v>
      </x:c>
      <x:c r="F29" s="16" t="n">
        <x:v>66</x:v>
      </x:c>
      <x:c r="G29" s="21" t="n">
        <x:f>IF(D29=0,"",C29/D29)</x:f>
        <x:v>0.36751194438029056</x:v>
      </x:c>
      <x:c r="H29" s="19" t="n">
        <x:f>IF(E29=0,"",F29/E29)</x:f>
        <x:v>0.0515625</x:v>
      </x:c>
      <x:c r="I29" s="18" t="n">
        <x:f>SUMIF('Vendas'!$A$6:$A$437,B29,'Vendas'!$J$6:$J$437)</x:f>
        <x:v>1004175.7999999999</x:v>
      </x:c>
      <x:c r="J29" s="18" t="n">
        <x:f>ROUND(C29-I29,2)</x:f>
        <x:v>0</x:v>
      </x:c>
    </x:row>
    <x:row r="30" ht="24" customHeight="1">
      <x:c r="A30" s="2" t="str">
        <x:v>E-025</x:v>
      </x:c>
      <x:c r="B30" s="14" t="n">
        <x:v>45658</x:v>
      </x:c>
      <x:c r="C30" s="17" t="n">
        <x:v>769225.92</x:v>
      </x:c>
      <x:c r="D30" s="17" t="n">
        <x:v>2113832.83</x:v>
      </x:c>
      <x:c r="E30" s="16" t="n">
        <x:v>1280</x:v>
      </x:c>
      <x:c r="F30" s="16" t="n">
        <x:v>67</x:v>
      </x:c>
      <x:c r="G30" s="21" t="n">
        <x:f>IF(D30=0,"",C30/D30)</x:f>
        <x:v>0.3639010186060929</x:v>
      </x:c>
      <x:c r="H30" s="19" t="n">
        <x:f>IF(E30=0,"",F30/E30)</x:f>
        <x:v>0.05234375</x:v>
      </x:c>
      <x:c r="I30" s="18" t="n">
        <x:f>SUMIF('Vendas'!$A$6:$A$437,B30,'Vendas'!$J$6:$J$437)</x:f>
        <x:v>769225.92</x:v>
      </x:c>
      <x:c r="J30" s="18" t="n">
        <x:f>ROUND(C30-I30,2)</x:f>
        <x:v>0</x:v>
      </x:c>
    </x:row>
    <x:row r="31" ht="24" customHeight="1">
      <x:c r="A31" s="2" t="str">
        <x:v>E-026</x:v>
      </x:c>
      <x:c r="B31" s="14" t="n">
        <x:v>45689</x:v>
      </x:c>
      <x:c r="C31" s="17" t="n">
        <x:v>749494.3</x:v>
      </x:c>
      <x:c r="D31" s="17" t="n">
        <x:v>2079846.68</x:v>
      </x:c>
      <x:c r="E31" s="16" t="n">
        <x:v>1280</x:v>
      </x:c>
      <x:c r="F31" s="16" t="n">
        <x:v>68</x:v>
      </x:c>
      <x:c r="G31" s="21" t="n">
        <x:f>IF(D31=0,"",C31/D31)</x:f>
        <x:v>0.36036036079351774</x:v>
      </x:c>
      <x:c r="H31" s="19" t="n">
        <x:f>IF(E31=0,"",F31/E31)</x:f>
        <x:v>0.053125</x:v>
      </x:c>
      <x:c r="I31" s="18" t="n">
        <x:f>SUMIF('Vendas'!$A$6:$A$437,B31,'Vendas'!$J$6:$J$437)</x:f>
        <x:v>749494.3</x:v>
      </x:c>
      <x:c r="J31" s="18" t="n">
        <x:f>ROUND(C31-I31,2)</x:f>
        <x:v>0</x:v>
      </x:c>
    </x:row>
    <x:row r="32" ht="24" customHeight="1">
      <x:c r="A32" s="2" t="str">
        <x:v>E-027</x:v>
      </x:c>
      <x:c r="B32" s="14" t="n">
        <x:v>45717</x:v>
      </x:c>
      <x:c r="C32" s="17" t="n">
        <x:v>818087.89</x:v>
      </x:c>
      <x:c r="D32" s="17" t="n">
        <x:v>2292282.27</x:v>
      </x:c>
      <x:c r="E32" s="16" t="n">
        <x:v>1280</x:v>
      </x:c>
      <x:c r="F32" s="16" t="n">
        <x:v>70</x:v>
      </x:c>
      <x:c r="G32" s="21" t="n">
        <x:f>IF(D32=0,"",C32/D32)</x:f>
        <x:v>0.3568879368420888</x:v>
      </x:c>
      <x:c r="H32" s="19" t="n">
        <x:f>IF(E32=0,"",F32/E32)</x:f>
        <x:v>0.0546875</x:v>
      </x:c>
      <x:c r="I32" s="18" t="n">
        <x:f>SUMIF('Vendas'!$A$6:$A$437,B32,'Vendas'!$J$6:$J$437)</x:f>
        <x:v>818087.8899999999</x:v>
      </x:c>
      <x:c r="J32" s="18" t="n">
        <x:f>ROUND(C32-I32,2)</x:f>
        <x:v>0</x:v>
      </x:c>
    </x:row>
    <x:row r="33" ht="24" customHeight="1">
      <x:c r="A33" s="2" t="str">
        <x:v>E-028</x:v>
      </x:c>
      <x:c r="B33" s="14" t="n">
        <x:v>45748</x:v>
      </x:c>
      <x:c r="C33" s="17" t="n">
        <x:v>845723.22</x:v>
      </x:c>
      <x:c r="D33" s="17" t="n">
        <x:v>2392550.99</x:v>
      </x:c>
      <x:c r="E33" s="16" t="n">
        <x:v>1280</x:v>
      </x:c>
      <x:c r="F33" s="16" t="n">
        <x:v>71</x:v>
      </x:c>
      <x:c r="G33" s="21" t="n">
        <x:f>IF(D33=0,"",C33/D33)</x:f>
        <x:v>0.35348179559592163</x:v>
      </x:c>
      <x:c r="H33" s="19" t="n">
        <x:f>IF(E33=0,"",F33/E33)</x:f>
        <x:v>0.05546875</x:v>
      </x:c>
      <x:c r="I33" s="18" t="n">
        <x:f>SUMIF('Vendas'!$A$6:$A$437,B33,'Vendas'!$J$6:$J$437)</x:f>
        <x:v>845723.22</x:v>
      </x:c>
      <x:c r="J33" s="18" t="n">
        <x:f>ROUND(C33-I33,2)</x:f>
        <x:v>0</x:v>
      </x:c>
    </x:row>
    <x:row r="34" ht="24" customHeight="1">
      <x:c r="A34" s="2" t="str">
        <x:v>E-029</x:v>
      </x:c>
      <x:c r="B34" s="14" t="n">
        <x:v>45778</x:v>
      </x:c>
      <x:c r="C34" s="17" t="n">
        <x:v>853969.97</x:v>
      </x:c>
      <x:c r="D34" s="17" t="n">
        <x:v>2438938.23</x:v>
      </x:c>
      <x:c r="E34" s="16" t="n">
        <x:v>1280</x:v>
      </x:c>
      <x:c r="F34" s="16" t="n">
        <x:v>73</x:v>
      </x:c>
      <x:c r="G34" s="21" t="n">
        <x:f>IF(D34=0,"",C34/D34)</x:f>
        <x:v>0.35014005664259895</x:v>
      </x:c>
      <x:c r="H34" s="19" t="n">
        <x:f>IF(E34=0,"",F34/E34)</x:f>
        <x:v>0.05703125</x:v>
      </x:c>
      <x:c r="I34" s="18" t="n">
        <x:f>SUMIF('Vendas'!$A$6:$A$437,B34,'Vendas'!$J$6:$J$437)</x:f>
        <x:v>853969.97</x:v>
      </x:c>
      <x:c r="J34" s="18" t="n">
        <x:f>ROUND(C34-I34,2)</x:f>
        <x:v>0</x:v>
      </x:c>
    </x:row>
    <x:row r="35" ht="24" customHeight="1">
      <x:c r="A35" s="2" t="str">
        <x:v>E-030</x:v>
      </x:c>
      <x:c r="B35" s="14" t="n">
        <x:v>45809</x:v>
      </x:c>
      <x:c r="C35" s="17" t="n">
        <x:v>883070.44</x:v>
      </x:c>
      <x:c r="D35" s="17" t="n">
        <x:v>2545892.08</x:v>
      </x:c>
      <x:c r="E35" s="16" t="n">
        <x:v>1280</x:v>
      </x:c>
      <x:c r="F35" s="16" t="n">
        <x:v>74</x:v>
      </x:c>
      <x:c r="G35" s="21" t="n">
        <x:f>IF(D35=0,"",C35/D35)</x:f>
        <x:v>0.34686090857394075</x:v>
      </x:c>
      <x:c r="H35" s="19" t="n">
        <x:f>IF(E35=0,"",F35/E35)</x:f>
        <x:v>0.0578125</x:v>
      </x:c>
      <x:c r="I35" s="18" t="n">
        <x:f>SUMIF('Vendas'!$A$6:$A$437,B35,'Vendas'!$J$6:$J$437)</x:f>
        <x:v>883070.4400000001</x:v>
      </x:c>
      <x:c r="J35" s="18" t="n">
        <x:f>ROUND(C35-I35,2)</x:f>
        <x:v>0</x:v>
      </x:c>
    </x:row>
    <x:row r="36" ht="24" customHeight="1">
      <x:c r="A36" s="2" t="str">
        <x:v>E-031</x:v>
      </x:c>
      <x:c r="B36" s="14" t="n">
        <x:v>45839</x:v>
      </x:c>
      <x:c r="C36" s="17" t="n">
        <x:v>869973.36</x:v>
      </x:c>
      <x:c r="D36" s="17" t="n">
        <x:v>2531622.48</x:v>
      </x:c>
      <x:c r="E36" s="16" t="n">
        <x:v>1280</x:v>
      </x:c>
      <x:c r="F36" s="16" t="n">
        <x:v>76</x:v>
      </x:c>
      <x:c r="G36" s="21" t="n">
        <x:f>IF(D36=0,"",C36/D36)</x:f>
        <x:v>0.3436426113580726</x:v>
      </x:c>
      <x:c r="H36" s="19" t="n">
        <x:f>IF(E36=0,"",F36/E36)</x:f>
        <x:v>0.059375</x:v>
      </x:c>
      <x:c r="I36" s="18" t="n">
        <x:f>SUMIF('Vendas'!$A$6:$A$437,B36,'Vendas'!$J$6:$J$437)</x:f>
        <x:v>869973.3600000001</x:v>
      </x:c>
      <x:c r="J36" s="18" t="n">
        <x:f>ROUND(C36-I36,2)</x:f>
        <x:v>0</x:v>
      </x:c>
    </x:row>
    <x:row r="37" ht="24" customHeight="1">
      <x:c r="A37" s="2" t="str">
        <x:v>E-032</x:v>
      </x:c>
      <x:c r="B37" s="14" t="n">
        <x:v>45870</x:v>
      </x:c>
      <x:c r="C37" s="17" t="n">
        <x:v>902035.59</x:v>
      </x:c>
      <x:c r="D37" s="17" t="n">
        <x:v>2649278.53</x:v>
      </x:c>
      <x:c r="E37" s="16" t="n">
        <x:v>1280</x:v>
      </x:c>
      <x:c r="F37" s="16" t="n">
        <x:v>77</x:v>
      </x:c>
      <x:c r="G37" s="21" t="n">
        <x:f>IF(D37=0,"",C37/D37)</x:f>
        <x:v>0.34048348627201536</x:v>
      </x:c>
      <x:c r="H37" s="19" t="n">
        <x:f>IF(E37=0,"",F37/E37)</x:f>
        <x:v>0.06015625</x:v>
      </x:c>
      <x:c r="I37" s="18" t="n">
        <x:f>SUMIF('Vendas'!$A$6:$A$437,B37,'Vendas'!$J$6:$J$437)</x:f>
        <x:v>902035.5899999999</x:v>
      </x:c>
      <x:c r="J37" s="18" t="n">
        <x:f>ROUND(C37-I37,2)</x:f>
        <x:v>0</x:v>
      </x:c>
    </x:row>
    <x:row r="38" ht="24" customHeight="1">
      <x:c r="A38" s="2" t="str">
        <x:v>E-033</x:v>
      </x:c>
      <x:c r="B38" s="14" t="n">
        <x:v>45901</x:v>
      </x:c>
      <x:c r="C38" s="17" t="n">
        <x:v>894587.99</x:v>
      </x:c>
      <x:c r="D38" s="17" t="n">
        <x:v>2651558.8</x:v>
      </x:c>
      <x:c r="E38" s="16" t="n">
        <x:v>1280</x:v>
      </x:c>
      <x:c r="F38" s="16" t="n">
        <x:v>78</x:v>
      </x:c>
      <x:c r="G38" s="21" t="n">
        <x:f>IF(D38=0,"",C38/D38)</x:f>
        <x:v>0.337381916629569</x:v>
      </x:c>
      <x:c r="H38" s="19" t="n">
        <x:f>IF(E38=0,"",F38/E38)</x:f>
        <x:v>0.0609375</x:v>
      </x:c>
      <x:c r="I38" s="18" t="n">
        <x:f>SUMIF('Vendas'!$A$6:$A$437,B38,'Vendas'!$J$6:$J$437)</x:f>
        <x:v>894587.9900000001</x:v>
      </x:c>
      <x:c r="J38" s="18" t="n">
        <x:f>ROUND(C38-I38,2)</x:f>
        <x:v>0</x:v>
      </x:c>
    </x:row>
    <x:row r="39" ht="24" customHeight="1">
      <x:c r="A39" s="2" t="str">
        <x:v>E-034</x:v>
      </x:c>
      <x:c r="B39" s="14" t="n">
        <x:v>45931</x:v>
      </x:c>
      <x:c r="C39" s="17" t="n">
        <x:v>923022.16</x:v>
      </x:c>
      <x:c r="D39" s="17" t="n">
        <x:v>2760759.28</x:v>
      </x:c>
      <x:c r="E39" s="16" t="n">
        <x:v>1280</x:v>
      </x:c>
      <x:c r="F39" s="16" t="n">
        <x:v>80</x:v>
      </x:c>
      <x:c r="G39" s="21" t="n">
        <x:f>IF(D39=0,"",C39/D39)</x:f>
        <x:v>0.3343363424282323</x:v>
      </x:c>
      <x:c r="H39" s="19" t="n">
        <x:f>IF(E39=0,"",F39/E39)</x:f>
        <x:v>0.0625</x:v>
      </x:c>
      <x:c r="I39" s="18" t="n">
        <x:f>SUMIF('Vendas'!$A$6:$A$437,B39,'Vendas'!$J$6:$J$437)</x:f>
        <x:v>923022.1600000001</x:v>
      </x:c>
      <x:c r="J39" s="18" t="n">
        <x:f>ROUND(C39-I39,2)</x:f>
        <x:v>0</x:v>
      </x:c>
    </x:row>
    <x:row r="40" ht="24" customHeight="1">
      <x:c r="A40" s="2" t="str">
        <x:v>E-035</x:v>
      </x:c>
      <x:c r="B40" s="14" t="n">
        <x:v>45962</x:v>
      </x:c>
      <x:c r="C40" s="17" t="n">
        <x:v>1205201.91</x:v>
      </x:c>
      <x:c r="D40" s="17" t="n">
        <x:v>3637299.36</x:v>
      </x:c>
      <x:c r="E40" s="16" t="n">
        <x:v>1280</x:v>
      </x:c>
      <x:c r="F40" s="16" t="n">
        <x:v>81</x:v>
      </x:c>
      <x:c r="G40" s="21" t="n">
        <x:f>IF(D40=0,"",C40/D40)</x:f>
        <x:v>0.33134526216175947</x:v>
      </x:c>
      <x:c r="H40" s="19" t="n">
        <x:f>IF(E40=0,"",F40/E40)</x:f>
        <x:v>0.06328125</x:v>
      </x:c>
      <x:c r="I40" s="18" t="n">
        <x:f>SUMIF('Vendas'!$A$6:$A$437,B40,'Vendas'!$J$6:$J$437)</x:f>
        <x:v>1205201.91</x:v>
      </x:c>
      <x:c r="J40" s="18" t="n">
        <x:f>ROUND(C40-I40,2)</x:f>
        <x:v>0</x:v>
      </x:c>
    </x:row>
    <x:row r="41" ht="24" customHeight="1">
      <x:c r="A41" s="2" t="str">
        <x:v>E-036</x:v>
      </x:c>
      <x:c r="B41" s="14" t="n">
        <x:v>45992</x:v>
      </x:c>
      <x:c r="C41" s="17" t="n">
        <x:v>1192526.12</x:v>
      </x:c>
      <x:c r="D41" s="17" t="n">
        <x:v>3631242.04</x:v>
      </x:c>
      <x:c r="E41" s="16" t="n">
        <x:v>1280</x:v>
      </x:c>
      <x:c r="F41" s="16" t="n">
        <x:v>83</x:v>
      </x:c>
      <x:c r="G41" s="21" t="n">
        <x:f>IF(D41=0,"",C41/D41)</x:f>
        <x:v>0.32840722454292803</x:v>
      </x:c>
      <x:c r="H41" s="19" t="n">
        <x:f>IF(E41=0,"",F41/E41)</x:f>
        <x:v>0.06484375</x:v>
      </x:c>
      <x:c r="I41" s="18" t="n">
        <x:f>SUMIF('Vendas'!$A$6:$A$437,B41,'Vendas'!$J$6:$J$437)</x:f>
        <x:v>1192526.1199999999</x:v>
      </x:c>
      <x:c r="J41" s="18" t="n">
        <x:f>ROUND(C41-I41,2)</x:f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724c737b4da04289"/>
  </x:tableParts>
</x:worksheet>
</file>

<file path=xl/worksheets/sheet6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23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23" hidden="0" customWidth="1"/>
  </x:cols>
  <x:sheetData>
    <x:row r="1" ht="32" customHeight="1">
      <x:c r="A1" s="4" t="str">
        <x:v>Evolução mensal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</x:row>
    <x:row r="2" ht="22" customHeight="1">
      <x:c r="A2" s="5" t="str">
        <x:v>NC-2026.1 · valores em reais · taxas recalculadas pelos totais do recorte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</x:row>
    <x:row r="3" ht="10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</x:row>
    <x:row r="4" ht="10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</x:row>
    <x:row r="5" ht="46" customHeight="1">
      <x:c r="A5" s="11" t="str">
        <x:v>mes</x:v>
      </x:c>
      <x:c r="B5" s="12" t="str">
        <x:v>receita_bruta</x:v>
      </x:c>
      <x:c r="C5" s="12" t="str">
        <x:v>pedidos</x:v>
      </x:c>
      <x:c r="D5" s="12" t="str">
        <x:v>receita_liquida</x:v>
      </x:c>
      <x:c r="E5" s="12" t="str">
        <x:v>cmv</x:v>
      </x:c>
      <x:c r="F5" s="12" t="str">
        <x:v>contribuicao_valor</x:v>
      </x:c>
      <x:c r="G5" s="12" t="str">
        <x:v>margem_bruta_pct</x:v>
      </x:c>
      <x:c r="H5" s="12" t="str">
        <x:v>contribuicao_pct</x:v>
      </x:c>
      <x:c r="I5" s="12" t="str">
        <x:v>ticket_bruto</x:v>
      </x:c>
      <x:c r="J5" s="12" t="str">
        <x:v>cac_gerencial</x:v>
      </x:c>
      <x:c r="K5" s="12" t="str">
        <x:v>taxa_atraso</x:v>
      </x:c>
      <x:c r="L5" s="12" t="str">
        <x:v>nps</x:v>
      </x:c>
      <x:c r="M5" s="12" t="str">
        <x:v>marketing_investimento</x:v>
      </x:c>
      <x:c r="N5" s="12" t="str">
        <x:v>novos_clientes</x:v>
      </x:c>
      <x:c r="O5" s="12" t="str">
        <x:v>pedidos_atrasados</x:v>
      </x:c>
      <x:c r="P5" s="12" t="str">
        <x:v>respostas_nps</x:v>
      </x:c>
      <x:c r="Q5" s="12" t="str">
        <x:v>promotores_nps</x:v>
      </x:c>
      <x:c r="R5" s="12" t="str">
        <x:v>detratores_nps</x:v>
      </x:c>
      <x:c r="S5" s="12" t="str">
        <x:v>frete_custo</x:v>
      </x:c>
      <x:c r="T5" s="12" t="str">
        <x:v>descontos</x:v>
      </x:c>
      <x:c r="U5" s="12" t="str">
        <x:v>devolucoes_valor</x:v>
      </x:c>
      <x:c r="V5" s="13" t="str">
        <x:v>devolucoes_pedidos</x:v>
      </x:c>
    </x:row>
    <x:row r="6" ht="24" customHeight="1">
      <x:c r="A6" s="14" t="n">
        <x:v>44927</x:v>
      </x:c>
      <x:c r="B6" s="17" t="n">
        <x:f>SUMIFS('Vendas'!$F$6:$F$437,'Vendas'!$A$6:$A$437,A6)</x:f>
        <x:v>980057.3999999999</x:v>
      </x:c>
      <x:c r="C6" s="16" t="n">
        <x:f>SUMIFS('Vendas'!$E$6:$E$437,'Vendas'!$A$6:$A$437,A6)</x:f>
        <x:v>844</x:v>
      </x:c>
      <x:c r="D6" s="17" t="n">
        <x:f>SUMIFS('Vendas'!$I$6:$I$437,'Vendas'!$A$6:$A$437,A6)</x:f>
        <x:v>945755.3999999999</x:v>
      </x:c>
      <x:c r="E6" s="17" t="n">
        <x:f>SUMIFS('Vendas'!$J$6:$J$437,'Vendas'!$A$6:$A$437,A6)</x:f>
        <x:v>478448.05999999994</x:v>
      </x:c>
      <x:c r="F6" s="17" t="n">
        <x:f>SUMIFS('Vendas'!$X$6:$X$437,'Vendas'!$A$6:$A$437,A6)</x:f>
        <x:v>378803.71</x:v>
      </x:c>
      <x:c r="G6" s="22" t="n">
        <x:f>IF(D6=0,"",(D6-E6)/D6)</x:f>
        <x:v>0.4941101472960133</x:v>
      </x:c>
      <x:c r="H6" s="22" t="n">
        <x:f>IF(D6=0,"",F6/D6)</x:f>
        <x:v>0.4005303168239907</x:v>
      </x:c>
      <x:c r="I6" s="17" t="n">
        <x:f>IF(C6=0,"",B6/C6)</x:f>
        <x:v>1161.2054502369667</x:v>
      </x:c>
      <x:c r="J6" s="17" t="n">
        <x:f>IF(N6=0,"",M6/N6)</x:f>
        <x:v>122.79645962732924</x:v>
      </x:c>
      <x:c r="K6" s="22" t="n">
        <x:f>IF(C6=0,"",O6/C6)</x:f>
        <x:v>0.041469194312796206</x:v>
      </x:c>
      <x:c r="L6" s="23" t="n">
        <x:f>IF(P6=0,"",100*(Q6-R6)/P6)</x:f>
        <x:v>64.81481481481481</x:v>
      </x:c>
      <x:c r="M6" s="17" t="n">
        <x:f>SUMIFS('Vendas'!$M$6:$M$437,'Vendas'!$A$6:$A$437,A6)</x:f>
        <x:v>39540.460000000014</x:v>
      </x:c>
      <x:c r="N6" s="16" t="n">
        <x:f>SUMIFS('Vendas'!$N$6:$N$437,'Vendas'!$A$6:$A$437,A6)</x:f>
        <x:v>322</x:v>
      </x:c>
      <x:c r="O6" s="16" t="n">
        <x:f>SUMIFS('Vendas'!$O$6:$O$437,'Vendas'!$A$6:$A$437,A6)</x:f>
        <x:v>35</x:v>
      </x:c>
      <x:c r="P6" s="16" t="n">
        <x:f>SUMIFS('Vendas'!$Q$6:$Q$437,'Vendas'!$A$6:$A$437,A6)</x:f>
        <x:v>270</x:v>
      </x:c>
      <x:c r="Q6" s="16" t="n">
        <x:f>SUMIFS('Vendas'!$R$6:$R$437,'Vendas'!$A$6:$A$437,A6)</x:f>
        <x:v>201</x:v>
      </x:c>
      <x:c r="R6" s="16" t="n">
        <x:f>SUMIFS('Vendas'!$S$6:$S$437,'Vendas'!$A$6:$A$437,A6)</x:f>
        <x:v>26</x:v>
      </x:c>
      <x:c r="S6" s="17" t="n">
        <x:f>SUMIFS('Vendas'!$K$6:$K$437,'Vendas'!$A$6:$A$437,A6)</x:f>
        <x:v>26265.039999999997</x:v>
      </x:c>
      <x:c r="T6" s="17" t="n">
        <x:f>SUMIFS('Vendas'!$G$6:$G$437,'Vendas'!$A$6:$A$437,A6)</x:f>
        <x:v>24501.429999999997</x:v>
      </x:c>
      <x:c r="U6" s="17" t="n">
        <x:f>SUMIFS('Vendas'!$H$6:$H$437,'Vendas'!$A$6:$A$437,A6)</x:f>
        <x:v>9800.57</x:v>
      </x:c>
      <x:c r="V6" s="16" t="n">
        <x:f>SUMIFS('Vendas'!$P$6:$P$437,'Vendas'!$A$6:$A$437,A6)</x:f>
        <x:v>15</x:v>
      </x:c>
    </x:row>
    <x:row r="7" ht="24" customHeight="1">
      <x:c r="A7" s="14" t="n">
        <x:v>44958</x:v>
      </x:c>
      <x:c r="B7" s="17" t="n">
        <x:f>SUMIFS('Vendas'!$F$6:$F$437,'Vendas'!$A$6:$A$437,A7)</x:f>
        <x:v>908403.22</x:v>
      </x:c>
      <x:c r="C7" s="16" t="n">
        <x:f>SUMIFS('Vendas'!$E$6:$E$437,'Vendas'!$A$6:$A$437,A7)</x:f>
        <x:v>782</x:v>
      </x:c>
      <x:c r="D7" s="17" t="n">
        <x:f>SUMIFS('Vendas'!$I$6:$I$437,'Vendas'!$A$6:$A$437,A7)</x:f>
        <x:v>875650.23</x:v>
      </x:c>
      <x:c r="E7" s="17" t="n">
        <x:f>SUMIFS('Vendas'!$J$6:$J$437,'Vendas'!$A$6:$A$437,A7)</x:f>
        <x:v>449398.9199999999</x:v>
      </x:c>
      <x:c r="F7" s="17" t="n">
        <x:f>SUMIFS('Vendas'!$X$6:$X$437,'Vendas'!$A$6:$A$437,A7)</x:f>
        <x:v>342177.80000000005</x:v>
      </x:c>
      <x:c r="G7" s="22" t="n">
        <x:f>IF(D7=0,"",(D7-E7)/D7)</x:f>
        <x:v>0.4867826163878242</x:v>
      </x:c>
      <x:c r="H7" s="22" t="n">
        <x:f>IF(D7=0,"",F7/D7)</x:f>
        <x:v>0.3907699538890089</x:v>
      </x:c>
      <x:c r="I7" s="17" t="n">
        <x:f>IF(C7=0,"",B7/C7)</x:f>
        <x:v>1161.64094629156</x:v>
      </x:c>
      <x:c r="J7" s="17" t="n">
        <x:f>IF(N7=0,"",M7/N7)</x:f>
        <x:v>125.08783333333332</x:v>
      </x:c>
      <x:c r="K7" s="22" t="n">
        <x:f>IF(C7=0,"",O7/C7)</x:f>
        <x:v>0.04219948849104859</x:v>
      </x:c>
      <x:c r="L7" s="23" t="n">
        <x:f>IF(P7=0,"",100*(Q7-R7)/P7)</x:f>
        <x:v>63.492063492063494</x:v>
      </x:c>
      <x:c r="M7" s="17" t="n">
        <x:f>SUMIFS('Vendas'!$M$6:$M$437,'Vendas'!$A$6:$A$437,A7)</x:f>
        <x:v>37526.35</x:v>
      </x:c>
      <x:c r="N7" s="16" t="n">
        <x:f>SUMIFS('Vendas'!$N$6:$N$437,'Vendas'!$A$6:$A$437,A7)</x:f>
        <x:v>300</x:v>
      </x:c>
      <x:c r="O7" s="16" t="n">
        <x:f>SUMIFS('Vendas'!$O$6:$O$437,'Vendas'!$A$6:$A$437,A7)</x:f>
        <x:v>33</x:v>
      </x:c>
      <x:c r="P7" s="16" t="n">
        <x:f>SUMIFS('Vendas'!$Q$6:$Q$437,'Vendas'!$A$6:$A$437,A7)</x:f>
        <x:v>252</x:v>
      </x:c>
      <x:c r="Q7" s="16" t="n">
        <x:f>SUMIFS('Vendas'!$R$6:$R$437,'Vendas'!$A$6:$A$437,A7)</x:f>
        <x:v>186</x:v>
      </x:c>
      <x:c r="R7" s="16" t="n">
        <x:f>SUMIFS('Vendas'!$S$6:$S$437,'Vendas'!$A$6:$A$437,A7)</x:f>
        <x:v>26</x:v>
      </x:c>
      <x:c r="S7" s="17" t="n">
        <x:f>SUMIFS('Vendas'!$K$6:$K$437,'Vendas'!$A$6:$A$437,A7)</x:f>
        <x:v>25531.559999999998</x:v>
      </x:c>
      <x:c r="T7" s="17" t="n">
        <x:f>SUMIFS('Vendas'!$G$6:$G$437,'Vendas'!$A$6:$A$437,A7)</x:f>
        <x:v>23214.750000000004</x:v>
      </x:c>
      <x:c r="U7" s="17" t="n">
        <x:f>SUMIFS('Vendas'!$H$6:$H$437,'Vendas'!$A$6:$A$437,A7)</x:f>
        <x:v>9538.24</x:v>
      </x:c>
      <x:c r="V7" s="16" t="n">
        <x:f>SUMIFS('Vendas'!$P$6:$P$437,'Vendas'!$A$6:$A$437,A7)</x:f>
        <x:v>14</x:v>
      </x:c>
    </x:row>
    <x:row r="8" ht="24" customHeight="1">
      <x:c r="A8" s="14" t="n">
        <x:v>44986</x:v>
      </x:c>
      <x:c r="B8" s="17" t="n">
        <x:f>SUMIFS('Vendas'!$F$6:$F$437,'Vendas'!$A$6:$A$437,A8)</x:f>
        <x:v>1018626.58</x:v>
      </x:c>
      <x:c r="C8" s="16" t="n">
        <x:f>SUMIFS('Vendas'!$E$6:$E$437,'Vendas'!$A$6:$A$437,A8)</x:f>
        <x:v>877</x:v>
      </x:c>
      <x:c r="D8" s="17" t="n">
        <x:f>SUMIFS('Vendas'!$I$6:$I$437,'Vendas'!$A$6:$A$437,A8)</x:f>
        <x:v>980824.2099999998</x:v>
      </x:c>
      <x:c r="E8" s="17" t="n">
        <x:f>SUMIFS('Vendas'!$J$6:$J$437,'Vendas'!$A$6:$A$437,A8)</x:f>
        <x:v>506306.7700000001</x:v>
      </x:c>
      <x:c r="F8" s="17" t="n">
        <x:f>SUMIFS('Vendas'!$X$6:$X$437,'Vendas'!$A$6:$A$437,A8)</x:f>
        <x:v>380349.31</x:v>
      </x:c>
      <x:c r="G8" s="22" t="n">
        <x:f>IF(D8=0,"",(D8-E8)/D8)</x:f>
        <x:v>0.4837945833331335</x:v>
      </x:c>
      <x:c r="H8" s="22" t="n">
        <x:f>IF(D8=0,"",F8/D8)</x:f>
        <x:v>0.38778540142274837</x:v>
      </x:c>
      <x:c r="I8" s="17" t="n">
        <x:f>IF(C8=0,"",B8/C8)</x:f>
        <x:v>1161.4898289623716</x:v>
      </x:c>
      <x:c r="J8" s="17" t="n">
        <x:f>IF(N8=0,"",M8/N8)</x:f>
        <x:v>122.59456973293767</x:v>
      </x:c>
      <x:c r="K8" s="22" t="n">
        <x:f>IF(C8=0,"",O8/C8)</x:f>
        <x:v>0.04903078677309008</x:v>
      </x:c>
      <x:c r="L8" s="23" t="n">
        <x:f>IF(P8=0,"",100*(Q8-R8)/P8)</x:f>
        <x:v>61.56583629893238</x:v>
      </x:c>
      <x:c r="M8" s="17" t="n">
        <x:f>SUMIFS('Vendas'!$M$6:$M$437,'Vendas'!$A$6:$A$437,A8)</x:f>
        <x:v>41314.369999999995</x:v>
      </x:c>
      <x:c r="N8" s="16" t="n">
        <x:f>SUMIFS('Vendas'!$N$6:$N$437,'Vendas'!$A$6:$A$437,A8)</x:f>
        <x:v>337</x:v>
      </x:c>
      <x:c r="O8" s="16" t="n">
        <x:f>SUMIFS('Vendas'!$O$6:$O$437,'Vendas'!$A$6:$A$437,A8)</x:f>
        <x:v>43</x:v>
      </x:c>
      <x:c r="P8" s="16" t="n">
        <x:f>SUMIFS('Vendas'!$Q$6:$Q$437,'Vendas'!$A$6:$A$437,A8)</x:f>
        <x:v>281</x:v>
      </x:c>
      <x:c r="Q8" s="16" t="n">
        <x:f>SUMIFS('Vendas'!$R$6:$R$437,'Vendas'!$A$6:$A$437,A8)</x:f>
        <x:v>204</x:v>
      </x:c>
      <x:c r="R8" s="16" t="n">
        <x:f>SUMIFS('Vendas'!$S$6:$S$437,'Vendas'!$A$6:$A$437,A8)</x:f>
        <x:v>31</x:v>
      </x:c>
      <x:c r="S8" s="17" t="n">
        <x:f>SUMIFS('Vendas'!$K$6:$K$437,'Vendas'!$A$6:$A$437,A8)</x:f>
        <x:v>29313.98</x:v>
      </x:c>
      <x:c r="T8" s="17" t="n">
        <x:f>SUMIFS('Vendas'!$G$6:$G$437,'Vendas'!$A$6:$A$437,A8)</x:f>
        <x:v>26597.489999999998</x:v>
      </x:c>
      <x:c r="U8" s="17" t="n">
        <x:f>SUMIFS('Vendas'!$H$6:$H$437,'Vendas'!$A$6:$A$437,A8)</x:f>
        <x:v>11204.880000000001</x:v>
      </x:c>
      <x:c r="V8" s="16" t="n">
        <x:f>SUMIFS('Vendas'!$P$6:$P$437,'Vendas'!$A$6:$A$437,A8)</x:f>
        <x:v>17</x:v>
      </x:c>
    </x:row>
    <x:row r="9" ht="24" customHeight="1">
      <x:c r="A9" s="14" t="n">
        <x:v>45017</x:v>
      </x:c>
      <x:c r="B9" s="17" t="n">
        <x:f>SUMIFS('Vendas'!$F$6:$F$437,'Vendas'!$A$6:$A$437,A9)</x:f>
        <x:v>1031867.5599999999</x:v>
      </x:c>
      <x:c r="C9" s="16" t="n">
        <x:f>SUMIFS('Vendas'!$E$6:$E$437,'Vendas'!$A$6:$A$437,A9)</x:f>
        <x:v>888</x:v>
      </x:c>
      <x:c r="D9" s="17" t="n">
        <x:f>SUMIFS('Vendas'!$I$6:$I$437,'Vendas'!$A$6:$A$437,A9)</x:f>
        <x:v>992484.6199999999</x:v>
      </x:c>
      <x:c r="E9" s="17" t="n">
        <x:f>SUMIFS('Vendas'!$J$6:$J$437,'Vendas'!$A$6:$A$437,A9)</x:f>
        <x:v>516954.83</x:v>
      </x:c>
      <x:c r="F9" s="17" t="n">
        <x:f>SUMIFS('Vendas'!$X$6:$X$437,'Vendas'!$A$6:$A$437,A9)</x:f>
        <x:v>379204.35</x:v>
      </x:c>
      <x:c r="G9" s="22" t="n">
        <x:f>IF(D9=0,"",(D9-E9)/D9)</x:f>
        <x:v>0.4791306388203778</x:v>
      </x:c>
      <x:c r="H9" s="22" t="n">
        <x:f>IF(D9=0,"",F9/D9)</x:f>
        <x:v>0.3820757947866235</x:v>
      </x:c>
      <x:c r="I9" s="17" t="n">
        <x:f>IF(C9=0,"",B9/C9)</x:f>
        <x:v>1162.0130180180179</x:v>
      </x:c>
      <x:c r="J9" s="17" t="n">
        <x:f>IF(N9=0,"",M9/N9)</x:f>
        <x:v>123.4177876106195</x:v>
      </x:c>
      <x:c r="K9" s="22" t="n">
        <x:f>IF(C9=0,"",O9/C9)</x:f>
        <x:v>0.05067567567567568</x:v>
      </x:c>
      <x:c r="L9" s="23" t="n">
        <x:f>IF(P9=0,"",100*(Q9-R9)/P9)</x:f>
        <x:v>61.130742049469966</x:v>
      </x:c>
      <x:c r="M9" s="17" t="n">
        <x:f>SUMIFS('Vendas'!$M$6:$M$437,'Vendas'!$A$6:$A$437,A9)</x:f>
        <x:v>41838.63000000001</x:v>
      </x:c>
      <x:c r="N9" s="16" t="n">
        <x:f>SUMIFS('Vendas'!$N$6:$N$437,'Vendas'!$A$6:$A$437,A9)</x:f>
        <x:v>339</x:v>
      </x:c>
      <x:c r="O9" s="16" t="n">
        <x:f>SUMIFS('Vendas'!$O$6:$O$437,'Vendas'!$A$6:$A$437,A9)</x:f>
        <x:v>45</x:v>
      </x:c>
      <x:c r="P9" s="16" t="n">
        <x:f>SUMIFS('Vendas'!$Q$6:$Q$437,'Vendas'!$A$6:$A$437,A9)</x:f>
        <x:v>283</x:v>
      </x:c>
      <x:c r="Q9" s="16" t="n">
        <x:f>SUMIFS('Vendas'!$R$6:$R$437,'Vendas'!$A$6:$A$437,A9)</x:f>
        <x:v>205</x:v>
      </x:c>
      <x:c r="R9" s="16" t="n">
        <x:f>SUMIFS('Vendas'!$S$6:$S$437,'Vendas'!$A$6:$A$437,A9)</x:f>
        <x:v>32</x:v>
      </x:c>
      <x:c r="S9" s="17" t="n">
        <x:f>SUMIFS('Vendas'!$K$6:$K$437,'Vendas'!$A$6:$A$437,A9)</x:f>
        <x:v>30667.17</x:v>
      </x:c>
      <x:c r="T9" s="17" t="n">
        <x:f>SUMIFS('Vendas'!$G$6:$G$437,'Vendas'!$A$6:$A$437,A9)</x:f>
        <x:v>27516.46</x:v>
      </x:c>
      <x:c r="U9" s="17" t="n">
        <x:f>SUMIFS('Vendas'!$H$6:$H$437,'Vendas'!$A$6:$A$437,A9)</x:f>
        <x:v>11866.480000000001</x:v>
      </x:c>
      <x:c r="V9" s="16" t="n">
        <x:f>SUMIFS('Vendas'!$P$6:$P$437,'Vendas'!$A$6:$A$437,A9)</x:f>
        <x:v>18</x:v>
      </x:c>
    </x:row>
    <x:row r="10" ht="24" customHeight="1">
      <x:c r="A10" s="14" t="n">
        <x:v>45047</x:v>
      </x:c>
      <x:c r="B10" s="17" t="n">
        <x:f>SUMIFS('Vendas'!$F$6:$F$437,'Vendas'!$A$6:$A$437,A10)</x:f>
        <x:v>1032589.09</x:v>
      </x:c>
      <x:c r="C10" s="16" t="n">
        <x:f>SUMIFS('Vendas'!$E$6:$E$437,'Vendas'!$A$6:$A$437,A10)</x:f>
        <x:v>890</x:v>
      </x:c>
      <x:c r="D10" s="17" t="n">
        <x:f>SUMIFS('Vendas'!$I$6:$I$437,'Vendas'!$A$6:$A$437,A10)</x:f>
        <x:v>992088.6599999999</x:v>
      </x:c>
      <x:c r="E10" s="17" t="n">
        <x:f>SUMIFS('Vendas'!$J$6:$J$437,'Vendas'!$A$6:$A$437,A10)</x:f>
        <x:v>522408.84</x:v>
      </x:c>
      <x:c r="F10" s="17" t="n">
        <x:f>SUMIFS('Vendas'!$X$6:$X$437,'Vendas'!$A$6:$A$437,A10)</x:f>
        <x:v>374719.03</x:v>
      </x:c>
      <x:c r="G10" s="22" t="n">
        <x:f>IF(D10=0,"",(D10-E10)/D10)</x:f>
        <x:v>0.4734252481023217</x:v>
      </x:c>
      <x:c r="H10" s="22" t="n">
        <x:f>IF(D10=0,"",F10/D10)</x:f>
        <x:v>0.3777072000802832</x:v>
      </x:c>
      <x:c r="I10" s="17" t="n">
        <x:f>IF(C10=0,"",B10/C10)</x:f>
        <x:v>1160.2124606741572</x:v>
      </x:c>
      <x:c r="J10" s="17" t="n">
        <x:f>IF(N10=0,"",M10/N10)</x:f>
        <x:v>120.14314371257487</x:v>
      </x:c>
      <x:c r="K10" s="22" t="n">
        <x:f>IF(C10=0,"",O10/C10)</x:f>
        <x:v>0.05393258426966292</x:v>
      </x:c>
      <x:c r="L10" s="23" t="n">
        <x:f>IF(P10=0,"",100*(Q10-R10)/P10)</x:f>
        <x:v>60.97560975609756</x:v>
      </x:c>
      <x:c r="M10" s="17" t="n">
        <x:f>SUMIFS('Vendas'!$M$6:$M$437,'Vendas'!$A$6:$A$437,A10)</x:f>
        <x:v>40127.810000000005</x:v>
      </x:c>
      <x:c r="N10" s="16" t="n">
        <x:f>SUMIFS('Vendas'!$N$6:$N$437,'Vendas'!$A$6:$A$437,A10)</x:f>
        <x:v>334</x:v>
      </x:c>
      <x:c r="O10" s="16" t="n">
        <x:f>SUMIFS('Vendas'!$O$6:$O$437,'Vendas'!$A$6:$A$437,A10)</x:f>
        <x:v>48</x:v>
      </x:c>
      <x:c r="P10" s="16" t="n">
        <x:f>SUMIFS('Vendas'!$Q$6:$Q$437,'Vendas'!$A$6:$A$437,A10)</x:f>
        <x:v>287</x:v>
      </x:c>
      <x:c r="Q10" s="16" t="n">
        <x:f>SUMIFS('Vendas'!$R$6:$R$437,'Vendas'!$A$6:$A$437,A10)</x:f>
        <x:v>207</x:v>
      </x:c>
      <x:c r="R10" s="16" t="n">
        <x:f>SUMIFS('Vendas'!$S$6:$S$437,'Vendas'!$A$6:$A$437,A10)</x:f>
        <x:v>32</x:v>
      </x:c>
      <x:c r="S10" s="17" t="n">
        <x:f>SUMIFS('Vendas'!$K$6:$K$437,'Vendas'!$A$6:$A$437,A10)</x:f>
        <x:v>31022.87</x:v>
      </x:c>
      <x:c r="T10" s="17" t="n">
        <x:f>SUMIFS('Vendas'!$G$6:$G$437,'Vendas'!$A$6:$A$437,A10)</x:f>
        <x:v>28109.37</x:v>
      </x:c>
      <x:c r="U10" s="17" t="n">
        <x:f>SUMIFS('Vendas'!$H$6:$H$437,'Vendas'!$A$6:$A$437,A10)</x:f>
        <x:v>12391.06</x:v>
      </x:c>
      <x:c r="V10" s="16" t="n">
        <x:f>SUMIFS('Vendas'!$P$6:$P$437,'Vendas'!$A$6:$A$437,A10)</x:f>
        <x:v>19</x:v>
      </x:c>
    </x:row>
    <x:row r="11" ht="24" customHeight="1">
      <x:c r="A11" s="14" t="n">
        <x:v>45078</x:v>
      </x:c>
      <x:c r="B11" s="17" t="n">
        <x:f>SUMIFS('Vendas'!$F$6:$F$437,'Vendas'!$A$6:$A$437,A11)</x:f>
        <x:v>1086395.9800000002</x:v>
      </x:c>
      <x:c r="C11" s="16" t="n">
        <x:f>SUMIFS('Vendas'!$E$6:$E$437,'Vendas'!$A$6:$A$437,A11)</x:f>
        <x:v>934</x:v>
      </x:c>
      <x:c r="D11" s="17" t="n">
        <x:f>SUMIFS('Vendas'!$I$6:$I$437,'Vendas'!$A$6:$A$437,A11)</x:f>
        <x:v>1042638.38</x:v>
      </x:c>
      <x:c r="E11" s="17" t="n">
        <x:f>SUMIFS('Vendas'!$J$6:$J$437,'Vendas'!$A$6:$A$437,A11)</x:f>
        <x:v>553387.2599999999</x:v>
      </x:c>
      <x:c r="F11" s="17" t="n">
        <x:f>SUMIFS('Vendas'!$X$6:$X$437,'Vendas'!$A$6:$A$437,A11)</x:f>
        <x:v>385248.87000000005</x:v>
      </x:c>
      <x:c r="G11" s="22" t="n">
        <x:f>IF(D11=0,"",(D11-E11)/D11)</x:f>
        <x:v>0.4692433439866276</x:v>
      </x:c>
      <x:c r="H11" s="22" t="n">
        <x:f>IF(D11=0,"",F11/D11)</x:f>
        <x:v>0.3694942344247869</x:v>
      </x:c>
      <x:c r="I11" s="17" t="n">
        <x:f>IF(C11=0,"",B11/C11)</x:f>
        <x:v>1163.1648608137048</x:v>
      </x:c>
      <x:c r="J11" s="17" t="n">
        <x:f>IF(N11=0,"",M11/N11)</x:f>
        <x:v>123.90498607242341</x:v>
      </x:c>
      <x:c r="K11" s="22" t="n">
        <x:f>IF(C11=0,"",O11/C11)</x:f>
        <x:v>0.06209850107066381</x:v>
      </x:c>
      <x:c r="L11" s="23" t="n">
        <x:f>IF(P11=0,"",100*(Q11-R11)/P11)</x:f>
        <x:v>58.7248322147651</x:v>
      </x:c>
      <x:c r="M11" s="17" t="n">
        <x:f>SUMIFS('Vendas'!$M$6:$M$437,'Vendas'!$A$6:$A$437,A11)</x:f>
        <x:v>44481.89000000001</x:v>
      </x:c>
      <x:c r="N11" s="16" t="n">
        <x:f>SUMIFS('Vendas'!$N$6:$N$437,'Vendas'!$A$6:$A$437,A11)</x:f>
        <x:v>359</x:v>
      </x:c>
      <x:c r="O11" s="16" t="n">
        <x:f>SUMIFS('Vendas'!$O$6:$O$437,'Vendas'!$A$6:$A$437,A11)</x:f>
        <x:v>58</x:v>
      </x:c>
      <x:c r="P11" s="16" t="n">
        <x:f>SUMIFS('Vendas'!$Q$6:$Q$437,'Vendas'!$A$6:$A$437,A11)</x:f>
        <x:v>298</x:v>
      </x:c>
      <x:c r="Q11" s="16" t="n">
        <x:f>SUMIFS('Vendas'!$R$6:$R$437,'Vendas'!$A$6:$A$437,A11)</x:f>
        <x:v>210</x:v>
      </x:c>
      <x:c r="R11" s="16" t="n">
        <x:f>SUMIFS('Vendas'!$S$6:$S$437,'Vendas'!$A$6:$A$437,A11)</x:f>
        <x:v>35</x:v>
      </x:c>
      <x:c r="S11" s="17" t="n">
        <x:f>SUMIFS('Vendas'!$K$6:$K$437,'Vendas'!$A$6:$A$437,A11)</x:f>
        <x:v>34497.04000000001</x:v>
      </x:c>
      <x:c r="T11" s="17" t="n">
        <x:f>SUMIFS('Vendas'!$G$6:$G$437,'Vendas'!$A$6:$A$437,A11)</x:f>
        <x:v>30177.66</x:v>
      </x:c>
      <x:c r="U11" s="17" t="n">
        <x:f>SUMIFS('Vendas'!$H$6:$H$437,'Vendas'!$A$6:$A$437,A11)</x:f>
        <x:v>13579.94</x:v>
      </x:c>
      <x:c r="V11" s="16" t="n">
        <x:f>SUMIFS('Vendas'!$P$6:$P$437,'Vendas'!$A$6:$A$437,A11)</x:f>
        <x:v>19</x:v>
      </x:c>
    </x:row>
    <x:row r="12" ht="24" customHeight="1">
      <x:c r="A12" s="14" t="n">
        <x:v>45108</x:v>
      </x:c>
      <x:c r="B12" s="17" t="n">
        <x:f>SUMIFS('Vendas'!$F$6:$F$437,'Vendas'!$A$6:$A$437,A12)</x:f>
        <x:v>1046433.05</x:v>
      </x:c>
      <x:c r="C12" s="16" t="n">
        <x:f>SUMIFS('Vendas'!$E$6:$E$437,'Vendas'!$A$6:$A$437,A12)</x:f>
        <x:v>902</x:v>
      </x:c>
      <x:c r="D12" s="17" t="n">
        <x:f>SUMIFS('Vendas'!$I$6:$I$437,'Vendas'!$A$6:$A$437,A12)</x:f>
        <x:v>1003180.5000000001</x:v>
      </x:c>
      <x:c r="E12" s="17" t="n">
        <x:f>SUMIFS('Vendas'!$J$6:$J$437,'Vendas'!$A$6:$A$437,A12)</x:f>
        <x:v>530211.2000000001</x:v>
      </x:c>
      <x:c r="F12" s="17" t="n">
        <x:f>SUMIFS('Vendas'!$X$6:$X$437,'Vendas'!$A$6:$A$437,A12)</x:f>
        <x:v>373897.5800000001</x:v>
      </x:c>
      <x:c r="G12" s="22" t="n">
        <x:f>IF(D12=0,"",(D12-E12)/D12)</x:f>
        <x:v>0.47146979033184955</x:v>
      </x:c>
      <x:c r="H12" s="22" t="n">
        <x:f>IF(D12=0,"",F12/D12)</x:f>
        <x:v>0.37271216894666515</x:v>
      </x:c>
      <x:c r="I12" s="17" t="n">
        <x:f>IF(C12=0,"",B12/C12)</x:f>
        <x:v>1160.125332594235</x:v>
      </x:c>
      <x:c r="J12" s="17" t="n">
        <x:f>IF(N12=0,"",M12/N12)</x:f>
        <x:v>121.58399999999999</x:v>
      </x:c>
      <x:c r="K12" s="22" t="n">
        <x:f>IF(C12=0,"",O12/C12)</x:f>
        <x:v>0.06541019955654102</x:v>
      </x:c>
      <x:c r="L12" s="23" t="n">
        <x:f>IF(P12=0,"",100*(Q12-R12)/P12)</x:f>
        <x:v>58.333333333333336</x:v>
      </x:c>
      <x:c r="M12" s="17" t="n">
        <x:f>SUMIFS('Vendas'!$M$6:$M$437,'Vendas'!$A$6:$A$437,A12)</x:f>
        <x:v>41338.56</x:v>
      </x:c>
      <x:c r="N12" s="16" t="n">
        <x:f>SUMIFS('Vendas'!$N$6:$N$437,'Vendas'!$A$6:$A$437,A12)</x:f>
        <x:v>340</x:v>
      </x:c>
      <x:c r="O12" s="16" t="n">
        <x:f>SUMIFS('Vendas'!$O$6:$O$437,'Vendas'!$A$6:$A$437,A12)</x:f>
        <x:v>59</x:v>
      </x:c>
      <x:c r="P12" s="16" t="n">
        <x:f>SUMIFS('Vendas'!$Q$6:$Q$437,'Vendas'!$A$6:$A$437,A12)</x:f>
        <x:v>288</x:v>
      </x:c>
      <x:c r="Q12" s="16" t="n">
        <x:f>SUMIFS('Vendas'!$R$6:$R$437,'Vendas'!$A$6:$A$437,A12)</x:f>
        <x:v>202</x:v>
      </x:c>
      <x:c r="R12" s="16" t="n">
        <x:f>SUMIFS('Vendas'!$S$6:$S$437,'Vendas'!$A$6:$A$437,A12)</x:f>
        <x:v>34</x:v>
      </x:c>
      <x:c r="S12" s="17" t="n">
        <x:f>SUMIFS('Vendas'!$K$6:$K$437,'Vendas'!$A$6:$A$437,A12)</x:f>
        <x:v>33656.84</x:v>
      </x:c>
      <x:c r="T12" s="17" t="n">
        <x:f>SUMIFS('Vendas'!$G$6:$G$437,'Vendas'!$A$6:$A$437,A12)</x:f>
        <x:v>29648.919999999995</x:v>
      </x:c>
      <x:c r="U12" s="17" t="n">
        <x:f>SUMIFS('Vendas'!$H$6:$H$437,'Vendas'!$A$6:$A$437,A12)</x:f>
        <x:v>13603.63</x:v>
      </x:c>
      <x:c r="V12" s="16" t="n">
        <x:f>SUMIFS('Vendas'!$P$6:$P$437,'Vendas'!$A$6:$A$437,A12)</x:f>
        <x:v>20</x:v>
      </x:c>
    </x:row>
    <x:row r="13" ht="24" customHeight="1">
      <x:c r="A13" s="14" t="n">
        <x:v>45139</x:v>
      </x:c>
      <x:c r="B13" s="17" t="n">
        <x:f>SUMIFS('Vendas'!$F$6:$F$437,'Vendas'!$A$6:$A$437,A13)</x:f>
        <x:v>1052860.7900000003</x:v>
      </x:c>
      <x:c r="C13" s="16" t="n">
        <x:f>SUMIFS('Vendas'!$E$6:$E$437,'Vendas'!$A$6:$A$437,A13)</x:f>
        <x:v>905</x:v>
      </x:c>
      <x:c r="D13" s="17" t="n">
        <x:f>SUMIFS('Vendas'!$I$6:$I$437,'Vendas'!$A$6:$A$437,A13)</x:f>
        <x:v>1008231.2</x:v>
      </x:c>
      <x:c r="E13" s="17" t="n">
        <x:f>SUMIFS('Vendas'!$J$6:$J$437,'Vendas'!$A$6:$A$437,A13)</x:f>
        <x:v>537834.4400000001</x:v>
      </x:c>
      <x:c r="F13" s="17" t="n">
        <x:f>SUMIFS('Vendas'!$X$6:$X$437,'Vendas'!$A$6:$A$437,A13)</x:f>
        <x:v>368950.8000000001</x:v>
      </x:c>
      <x:c r="G13" s="22" t="n">
        <x:f>IF(D13=0,"",(D13-E13)/D13)</x:f>
        <x:v>0.46655644062591983</x:v>
      </x:c>
      <x:c r="H13" s="22" t="n">
        <x:f>IF(D13=0,"",F13/D13)</x:f>
        <x:v>0.36593868549197855</x:v>
      </x:c>
      <x:c r="I13" s="17" t="n">
        <x:f>IF(C13=0,"",B13/C13)</x:f>
        <x:v>1163.3820883977903</x:v>
      </x:c>
      <x:c r="J13" s="17" t="n">
        <x:f>IF(N13=0,"",M13/N13)</x:f>
        <x:v>121.90869942196531</x:v>
      </x:c>
      <x:c r="K13" s="22" t="n">
        <x:f>IF(C13=0,"",O13/C13)</x:f>
        <x:v>0.06740331491712707</x:v>
      </x:c>
      <x:c r="L13" s="23" t="n">
        <x:f>IF(P13=0,"",100*(Q13-R13)/P13)</x:f>
        <x:v>57.38831615120275</x:v>
      </x:c>
      <x:c r="M13" s="17" t="n">
        <x:f>SUMIFS('Vendas'!$M$6:$M$437,'Vendas'!$A$6:$A$437,A13)</x:f>
        <x:v>42180.409999999996</x:v>
      </x:c>
      <x:c r="N13" s="16" t="n">
        <x:f>SUMIFS('Vendas'!$N$6:$N$437,'Vendas'!$A$6:$A$437,A13)</x:f>
        <x:v>346</x:v>
      </x:c>
      <x:c r="O13" s="16" t="n">
        <x:f>SUMIFS('Vendas'!$O$6:$O$437,'Vendas'!$A$6:$A$437,A13)</x:f>
        <x:v>61</x:v>
      </x:c>
      <x:c r="P13" s="16" t="n">
        <x:f>SUMIFS('Vendas'!$Q$6:$Q$437,'Vendas'!$A$6:$A$437,A13)</x:f>
        <x:v>291</x:v>
      </x:c>
      <x:c r="Q13" s="16" t="n">
        <x:f>SUMIFS('Vendas'!$R$6:$R$437,'Vendas'!$A$6:$A$437,A13)</x:f>
        <x:v>204</x:v>
      </x:c>
      <x:c r="R13" s="16" t="n">
        <x:f>SUMIFS('Vendas'!$S$6:$S$437,'Vendas'!$A$6:$A$437,A13)</x:f>
        <x:v>37</x:v>
      </x:c>
      <x:c r="S13" s="17" t="n">
        <x:f>SUMIFS('Vendas'!$K$6:$K$437,'Vendas'!$A$6:$A$437,A13)</x:f>
        <x:v>35068</x:v>
      </x:c>
      <x:c r="T13" s="17" t="n">
        <x:f>SUMIFS('Vendas'!$G$6:$G$437,'Vendas'!$A$6:$A$437,A13)</x:f>
        <x:v>30415.97</x:v>
      </x:c>
      <x:c r="U13" s="17" t="n">
        <x:f>SUMIFS('Vendas'!$H$6:$H$437,'Vendas'!$A$6:$A$437,A13)</x:f>
        <x:v>14213.619999999999</x:v>
      </x:c>
      <x:c r="V13" s="16" t="n">
        <x:f>SUMIFS('Vendas'!$P$6:$P$437,'Vendas'!$A$6:$A$437,A13)</x:f>
        <x:v>20</x:v>
      </x:c>
    </x:row>
    <x:row r="14" ht="24" customHeight="1">
      <x:c r="A14" s="14" t="n">
        <x:v>45170</x:v>
      </x:c>
      <x:c r="B14" s="17" t="n">
        <x:f>SUMIFS('Vendas'!$F$6:$F$437,'Vendas'!$A$6:$A$437,A14)</x:f>
        <x:v>1128186.4000000001</x:v>
      </x:c>
      <x:c r="C14" s="16" t="n">
        <x:f>SUMIFS('Vendas'!$E$6:$E$437,'Vendas'!$A$6:$A$437,A14)</x:f>
        <x:v>971</x:v>
      </x:c>
      <x:c r="D14" s="17" t="n">
        <x:f>SUMIFS('Vendas'!$I$6:$I$437,'Vendas'!$A$6:$A$437,A14)</x:f>
        <x:v>1079172.97</x:v>
      </x:c>
      <x:c r="E14" s="17" t="n">
        <x:f>SUMIFS('Vendas'!$J$6:$J$437,'Vendas'!$A$6:$A$437,A14)</x:f>
        <x:v>580615.5899999999</x:v>
      </x:c>
      <x:c r="F14" s="17" t="n">
        <x:f>SUMIFS('Vendas'!$X$6:$X$437,'Vendas'!$A$6:$A$437,A14)</x:f>
        <x:v>388246.37</x:v>
      </x:c>
      <x:c r="G14" s="22" t="n">
        <x:f>IF(D14=0,"",(D14-E14)/D14)</x:f>
        <x:v>0.461980974189893</x:v>
      </x:c>
      <x:c r="H14" s="22" t="n">
        <x:f>IF(D14=0,"",F14/D14)</x:f>
        <x:v>0.3597628747132167</x:v>
      </x:c>
      <x:c r="I14" s="17" t="n">
        <x:f>IF(C14=0,"",B14/C14)</x:f>
        <x:v>1161.8809474768282</x:v>
      </x:c>
      <x:c r="J14" s="17" t="n">
        <x:f>IF(N14=0,"",M14/N14)</x:f>
        <x:v>123.30208108108106</x:v>
      </x:c>
      <x:c r="K14" s="22" t="n">
        <x:f>IF(C14=0,"",O14/C14)</x:f>
        <x:v>0.07312049433573635</x:v>
      </x:c>
      <x:c r="L14" s="23" t="n">
        <x:f>IF(P14=0,"",100*(Q14-R14)/P14)</x:f>
        <x:v>56.08974358974359</x:v>
      </x:c>
      <x:c r="M14" s="17" t="n">
        <x:f>SUMIFS('Vendas'!$M$6:$M$437,'Vendas'!$A$6:$A$437,A14)</x:f>
        <x:v>45621.76999999999</x:v>
      </x:c>
      <x:c r="N14" s="16" t="n">
        <x:f>SUMIFS('Vendas'!$N$6:$N$437,'Vendas'!$A$6:$A$437,A14)</x:f>
        <x:v>370</x:v>
      </x:c>
      <x:c r="O14" s="16" t="n">
        <x:f>SUMIFS('Vendas'!$O$6:$O$437,'Vendas'!$A$6:$A$437,A14)</x:f>
        <x:v>71</x:v>
      </x:c>
      <x:c r="P14" s="16" t="n">
        <x:f>SUMIFS('Vendas'!$Q$6:$Q$437,'Vendas'!$A$6:$A$437,A14)</x:f>
        <x:v>312</x:v>
      </x:c>
      <x:c r="Q14" s="16" t="n">
        <x:f>SUMIFS('Vendas'!$R$6:$R$437,'Vendas'!$A$6:$A$437,A14)</x:f>
        <x:v>216</x:v>
      </x:c>
      <x:c r="R14" s="16" t="n">
        <x:f>SUMIFS('Vendas'!$S$6:$S$437,'Vendas'!$A$6:$A$437,A14)</x:f>
        <x:v>41</x:v>
      </x:c>
      <x:c r="S14" s="17" t="n">
        <x:f>SUMIFS('Vendas'!$K$6:$K$437,'Vendas'!$A$6:$A$437,A14)</x:f>
        <x:v>38789.08</x:v>
      </x:c>
      <x:c r="T14" s="17" t="n">
        <x:f>SUMIFS('Vendas'!$G$6:$G$437,'Vendas'!$A$6:$A$437,A14)</x:f>
        <x:v>33218.82</x:v>
      </x:c>
      <x:c r="U14" s="17" t="n">
        <x:f>SUMIFS('Vendas'!$H$6:$H$437,'Vendas'!$A$6:$A$437,A14)</x:f>
        <x:v>15794.610000000002</x:v>
      </x:c>
      <x:c r="V14" s="16" t="n">
        <x:f>SUMIFS('Vendas'!$P$6:$P$437,'Vendas'!$A$6:$A$437,A14)</x:f>
        <x:v>21</x:v>
      </x:c>
    </x:row>
    <x:row r="15" ht="24" customHeight="1">
      <x:c r="A15" s="14" t="n">
        <x:v>45200</x:v>
      </x:c>
      <x:c r="B15" s="17" t="n">
        <x:f>SUMIFS('Vendas'!$F$6:$F$437,'Vendas'!$A$6:$A$437,A15)</x:f>
        <x:v>1122794.7</x:v>
      </x:c>
      <x:c r="C15" s="16" t="n">
        <x:f>SUMIFS('Vendas'!$E$6:$E$437,'Vendas'!$A$6:$A$437,A15)</x:f>
        <x:v>966</x:v>
      </x:c>
      <x:c r="D15" s="17" t="n">
        <x:f>SUMIFS('Vendas'!$I$6:$I$437,'Vendas'!$A$6:$A$437,A15)</x:f>
        <x:v>1072830.33</x:v>
      </x:c>
      <x:c r="E15" s="17" t="n">
        <x:f>SUMIFS('Vendas'!$J$6:$J$437,'Vendas'!$A$6:$A$437,A15)</x:f>
        <x:v>583189.02</x:v>
      </x:c>
      <x:c r="F15" s="17" t="n">
        <x:f>SUMIFS('Vendas'!$X$6:$X$437,'Vendas'!$A$6:$A$437,A15)</x:f>
        <x:v>379787.6</x:v>
      </x:c>
      <x:c r="G15" s="22" t="n">
        <x:f>IF(D15=0,"",(D15-E15)/D15)</x:f>
        <x:v>0.45640144234177277</x:v>
      </x:c>
      <x:c r="H15" s="22" t="n">
        <x:f>IF(D15=0,"",F15/D15)</x:f>
        <x:v>0.35400527872846393</x:v>
      </x:c>
      <x:c r="I15" s="17" t="n">
        <x:f>IF(C15=0,"",B15/C15)</x:f>
        <x:v>1162.3133540372671</x:v>
      </x:c>
      <x:c r="J15" s="17" t="n">
        <x:f>IF(N15=0,"",M15/N15)</x:f>
        <x:v>121.82356948228885</x:v>
      </x:c>
      <x:c r="K15" s="22" t="n">
        <x:f>IF(C15=0,"",O15/C15)</x:f>
        <x:v>0.07660455486542443</x:v>
      </x:c>
      <x:c r="L15" s="23" t="n">
        <x:f>IF(P15=0,"",100*(Q15-R15)/P15)</x:f>
        <x:v>54.36893203883495</x:v>
      </x:c>
      <x:c r="M15" s="17" t="n">
        <x:f>SUMIFS('Vendas'!$M$6:$M$437,'Vendas'!$A$6:$A$437,A15)</x:f>
        <x:v>44709.25000000001</x:v>
      </x:c>
      <x:c r="N15" s="16" t="n">
        <x:f>SUMIFS('Vendas'!$N$6:$N$437,'Vendas'!$A$6:$A$437,A15)</x:f>
        <x:v>367</x:v>
      </x:c>
      <x:c r="O15" s="16" t="n">
        <x:f>SUMIFS('Vendas'!$O$6:$O$437,'Vendas'!$A$6:$A$437,A15)</x:f>
        <x:v>74</x:v>
      </x:c>
      <x:c r="P15" s="16" t="n">
        <x:f>SUMIFS('Vendas'!$Q$6:$Q$437,'Vendas'!$A$6:$A$437,A15)</x:f>
        <x:v>309</x:v>
      </x:c>
      <x:c r="Q15" s="16" t="n">
        <x:f>SUMIFS('Vendas'!$R$6:$R$437,'Vendas'!$A$6:$A$437,A15)</x:f>
        <x:v>212</x:v>
      </x:c>
      <x:c r="R15" s="16" t="n">
        <x:f>SUMIFS('Vendas'!$S$6:$S$437,'Vendas'!$A$6:$A$437,A15)</x:f>
        <x:v>44</x:v>
      </x:c>
      <x:c r="S15" s="17" t="n">
        <x:f>SUMIFS('Vendas'!$K$6:$K$437,'Vendas'!$A$6:$A$437,A15)</x:f>
        <x:v>39396.52</x:v>
      </x:c>
      <x:c r="T15" s="17" t="n">
        <x:f>SUMIFS('Vendas'!$G$6:$G$437,'Vendas'!$A$6:$A$437,A15)</x:f>
        <x:v>33683.83</x:v>
      </x:c>
      <x:c r="U15" s="17" t="n">
        <x:f>SUMIFS('Vendas'!$H$6:$H$437,'Vendas'!$A$6:$A$437,A15)</x:f>
        <x:v>16280.539999999999</x:v>
      </x:c>
      <x:c r="V15" s="16" t="n">
        <x:f>SUMIFS('Vendas'!$P$6:$P$437,'Vendas'!$A$6:$A$437,A15)</x:f>
        <x:v>20</x:v>
      </x:c>
    </x:row>
    <x:row r="16" ht="24" customHeight="1">
      <x:c r="A16" s="14" t="n">
        <x:v>45231</x:v>
      </x:c>
      <x:c r="B16" s="17" t="n">
        <x:f>SUMIFS('Vendas'!$F$6:$F$437,'Vendas'!$A$6:$A$437,A16)</x:f>
        <x:v>1518066.5599999998</x:v>
      </x:c>
      <x:c r="C16" s="16" t="n">
        <x:f>SUMIFS('Vendas'!$E$6:$E$437,'Vendas'!$A$6:$A$437,A16)</x:f>
        <x:v>1306</x:v>
      </x:c>
      <x:c r="D16" s="17" t="n">
        <x:f>SUMIFS('Vendas'!$I$6:$I$437,'Vendas'!$A$6:$A$437,A16)</x:f>
        <x:v>1448910.19</x:v>
      </x:c>
      <x:c r="E16" s="17" t="n">
        <x:f>SUMIFS('Vendas'!$J$6:$J$437,'Vendas'!$A$6:$A$437,A16)</x:f>
        <x:v>788909.82</x:v>
      </x:c>
      <x:c r="F16" s="17" t="n">
        <x:f>SUMIFS('Vendas'!$X$6:$X$437,'Vendas'!$A$6:$A$437,A16)</x:f>
        <x:v>510656.99</x:v>
      </x:c>
      <x:c r="G16" s="22" t="n">
        <x:f>IF(D16=0,"",(D16-E16)/D16)</x:f>
        <x:v>0.4555150309212747</x:v>
      </x:c>
      <x:c r="H16" s="22" t="n">
        <x:f>IF(D16=0,"",F16/D16)</x:f>
        <x:v>0.3524421275551938</x:v>
      </x:c>
      <x:c r="I16" s="17" t="n">
        <x:f>IF(C16=0,"",B16/C16)</x:f>
        <x:v>1162.3786830015313</x:v>
      </x:c>
      <x:c r="J16" s="17" t="n">
        <x:f>IF(N16=0,"",M16/N16)</x:f>
        <x:v>121.04796370967743</x:v>
      </x:c>
      <x:c r="K16" s="22" t="n">
        <x:f>IF(C16=0,"",O16/C16)</x:f>
        <x:v>0.08039816232771822</x:v>
      </x:c>
      <x:c r="L16" s="23" t="n">
        <x:f>IF(P16=0,"",100*(Q16-R16)/P16)</x:f>
        <x:v>54.32692307692308</x:v>
      </x:c>
      <x:c r="M16" s="17" t="n">
        <x:f>SUMIFS('Vendas'!$M$6:$M$437,'Vendas'!$A$6:$A$437,A16)</x:f>
        <x:v>60039.79000000001</x:v>
      </x:c>
      <x:c r="N16" s="16" t="n">
        <x:f>SUMIFS('Vendas'!$N$6:$N$437,'Vendas'!$A$6:$A$437,A16)</x:f>
        <x:v>496</x:v>
      </x:c>
      <x:c r="O16" s="16" t="n">
        <x:f>SUMIFS('Vendas'!$O$6:$O$437,'Vendas'!$A$6:$A$437,A16)</x:f>
        <x:v>105</x:v>
      </x:c>
      <x:c r="P16" s="16" t="n">
        <x:f>SUMIFS('Vendas'!$Q$6:$Q$437,'Vendas'!$A$6:$A$437,A16)</x:f>
        <x:v>416</x:v>
      </x:c>
      <x:c r="Q16" s="16" t="n">
        <x:f>SUMIFS('Vendas'!$R$6:$R$437,'Vendas'!$A$6:$A$437,A16)</x:f>
        <x:v>284</x:v>
      </x:c>
      <x:c r="R16" s="16" t="n">
        <x:f>SUMIFS('Vendas'!$S$6:$S$437,'Vendas'!$A$6:$A$437,A16)</x:f>
        <x:v>58</x:v>
      </x:c>
      <x:c r="S16" s="17" t="n">
        <x:f>SUMIFS('Vendas'!$K$6:$K$437,'Vendas'!$A$6:$A$437,A16)</x:f>
        <x:v>54529.75</x:v>
      </x:c>
      <x:c r="T16" s="17" t="n">
        <x:f>SUMIFS('Vendas'!$G$6:$G$437,'Vendas'!$A$6:$A$437,A16)</x:f>
        <x:v>46385.36</x:v>
      </x:c>
      <x:c r="U16" s="17" t="n">
        <x:f>SUMIFS('Vendas'!$H$6:$H$437,'Vendas'!$A$6:$A$437,A16)</x:f>
        <x:v>22771.010000000002</x:v>
      </x:c>
      <x:c r="V16" s="16" t="n">
        <x:f>SUMIFS('Vendas'!$P$6:$P$437,'Vendas'!$A$6:$A$437,A16)</x:f>
        <x:v>30</x:v>
      </x:c>
    </x:row>
    <x:row r="17" ht="24" customHeight="1">
      <x:c r="A17" s="14" t="n">
        <x:v>45261</x:v>
      </x:c>
      <x:c r="B17" s="17" t="n">
        <x:f>SUMIFS('Vendas'!$F$6:$F$437,'Vendas'!$A$6:$A$437,A17)</x:f>
        <x:v>1541907.95</x:v>
      </x:c>
      <x:c r="C17" s="16" t="n">
        <x:f>SUMIFS('Vendas'!$E$6:$E$437,'Vendas'!$A$6:$A$437,A17)</x:f>
        <x:v>1327</x:v>
      </x:c>
      <x:c r="D17" s="17" t="n">
        <x:f>SUMIFS('Vendas'!$I$6:$I$437,'Vendas'!$A$6:$A$437,A17)</x:f>
        <x:v>1470037.9000000004</x:v>
      </x:c>
      <x:c r="E17" s="17" t="n">
        <x:f>SUMIFS('Vendas'!$J$6:$J$437,'Vendas'!$A$6:$A$437,A17)</x:f>
        <x:v>816348.0300000001</x:v>
      </x:c>
      <x:c r="F17" s="17" t="n">
        <x:f>SUMIFS('Vendas'!$X$6:$X$437,'Vendas'!$A$6:$A$437,A17)</x:f>
        <x:v>500981.33</x:v>
      </x:c>
      <x:c r="G17" s="22" t="n">
        <x:f>IF(D17=0,"",(D17-E17)/D17)</x:f>
        <x:v>0.444675521631109</x:v>
      </x:c>
      <x:c r="H17" s="22" t="n">
        <x:f>IF(D17=0,"",F17/D17)</x:f>
        <x:v>0.34079483937114813</x:v>
      </x:c>
      <x:c r="I17" s="17" t="n">
        <x:f>IF(C17=0,"",B17/C17)</x:f>
        <x:v>1161.9502260738507</x:v>
      </x:c>
      <x:c r="J17" s="17" t="n">
        <x:f>IF(N17=0,"",M17/N17)</x:f>
        <x:v>121.17520958083833</x:v>
      </x:c>
      <x:c r="K17" s="22" t="n">
        <x:f>IF(C17=0,"",O17/C17)</x:f>
        <x:v>0.08440090429540316</x:v>
      </x:c>
      <x:c r="L17" s="23" t="n">
        <x:f>IF(P17=0,"",100*(Q17-R17)/P17)</x:f>
        <x:v>53.06603773584906</x:v>
      </x:c>
      <x:c r="M17" s="17" t="n">
        <x:f>SUMIFS('Vendas'!$M$6:$M$437,'Vendas'!$A$6:$A$437,A17)</x:f>
        <x:v>60708.78</x:v>
      </x:c>
      <x:c r="N17" s="16" t="n">
        <x:f>SUMIFS('Vendas'!$N$6:$N$437,'Vendas'!$A$6:$A$437,A17)</x:f>
        <x:v>501</x:v>
      </x:c>
      <x:c r="O17" s="16" t="n">
        <x:f>SUMIFS('Vendas'!$O$6:$O$437,'Vendas'!$A$6:$A$437,A17)</x:f>
        <x:v>112</x:v>
      </x:c>
      <x:c r="P17" s="16" t="n">
        <x:f>SUMIFS('Vendas'!$Q$6:$Q$437,'Vendas'!$A$6:$A$437,A17)</x:f>
        <x:v>424</x:v>
      </x:c>
      <x:c r="Q17" s="16" t="n">
        <x:f>SUMIFS('Vendas'!$R$6:$R$437,'Vendas'!$A$6:$A$437,A17)</x:f>
        <x:v>286</x:v>
      </x:c>
      <x:c r="R17" s="16" t="n">
        <x:f>SUMIFS('Vendas'!$S$6:$S$437,'Vendas'!$A$6:$A$437,A17)</x:f>
        <x:v>61</x:v>
      </x:c>
      <x:c r="S17" s="17" t="n">
        <x:f>SUMIFS('Vendas'!$K$6:$K$437,'Vendas'!$A$6:$A$437,A17)</x:f>
        <x:v>56718.86</x:v>
      </x:c>
      <x:c r="T17" s="17" t="n">
        <x:f>SUMIFS('Vendas'!$G$6:$G$437,'Vendas'!$A$6:$A$437,A17)</x:f>
        <x:v>47970.46</x:v>
      </x:c>
      <x:c r="U17" s="17" t="n">
        <x:f>SUMIFS('Vendas'!$H$6:$H$437,'Vendas'!$A$6:$A$437,A17)</x:f>
        <x:v>23899.59</x:v>
      </x:c>
      <x:c r="V17" s="16" t="n">
        <x:f>SUMIFS('Vendas'!$P$6:$P$437,'Vendas'!$A$6:$A$437,A17)</x:f>
        <x:v>32</x:v>
      </x:c>
    </x:row>
    <x:row r="18" ht="24" customHeight="1">
      <x:c r="A18" s="14" t="n">
        <x:v>45292</x:v>
      </x:c>
      <x:c r="B18" s="17" t="n">
        <x:f>SUMIFS('Vendas'!$F$6:$F$437,'Vendas'!$A$6:$A$437,A18)</x:f>
        <x:v>1215761.32</x:v>
      </x:c>
      <x:c r="C18" s="16" t="n">
        <x:f>SUMIFS('Vendas'!$E$6:$E$437,'Vendas'!$A$6:$A$437,A18)</x:f>
        <x:v>1046</x:v>
      </x:c>
      <x:c r="D18" s="17" t="n">
        <x:f>SUMIFS('Vendas'!$I$6:$I$437,'Vendas'!$A$6:$A$437,A18)</x:f>
        <x:v>1157810.02</x:v>
      </x:c>
      <x:c r="E18" s="17" t="n">
        <x:f>SUMIFS('Vendas'!$J$6:$J$437,'Vendas'!$A$6:$A$437,A18)</x:f>
        <x:v>639178.2100000001</x:v>
      </x:c>
      <x:c r="F18" s="17" t="n">
        <x:f>SUMIFS('Vendas'!$X$6:$X$437,'Vendas'!$A$6:$A$437,A18)</x:f>
        <x:v>395902.38</x:v>
      </x:c>
      <x:c r="G18" s="22" t="n">
        <x:f>IF(D18=0,"",(D18-E18)/D18)</x:f>
        <x:v>0.44794206393204294</x:v>
      </x:c>
      <x:c r="H18" s="22" t="n">
        <x:f>IF(D18=0,"",F18/D18)</x:f>
        <x:v>0.3419407097547834</x:v>
      </x:c>
      <x:c r="I18" s="17" t="n">
        <x:f>IF(C18=0,"",B18/C18)</x:f>
        <x:v>1162.2957170172085</x:v>
      </x:c>
      <x:c r="J18" s="17" t="n">
        <x:f>IF(N18=0,"",M18/N18)</x:f>
        <x:v>121.90690000000001</x:v>
      </x:c>
      <x:c r="K18" s="22" t="n">
        <x:f>IF(C18=0,"",O18/C18)</x:f>
        <x:v>0.08891013384321224</x:v>
      </x:c>
      <x:c r="L18" s="23" t="n">
        <x:f>IF(P18=0,"",100*(Q18-R18)/P18)</x:f>
        <x:v>51.19760479041916</x:v>
      </x:c>
      <x:c r="M18" s="17" t="n">
        <x:f>SUMIFS('Vendas'!$M$6:$M$437,'Vendas'!$A$6:$A$437,A18)</x:f>
        <x:v>48762.76</x:v>
      </x:c>
      <x:c r="N18" s="16" t="n">
        <x:f>SUMIFS('Vendas'!$N$6:$N$437,'Vendas'!$A$6:$A$437,A18)</x:f>
        <x:v>400</x:v>
      </x:c>
      <x:c r="O18" s="16" t="n">
        <x:f>SUMIFS('Vendas'!$O$6:$O$437,'Vendas'!$A$6:$A$437,A18)</x:f>
        <x:v>93</x:v>
      </x:c>
      <x:c r="P18" s="16" t="n">
        <x:f>SUMIFS('Vendas'!$Q$6:$Q$437,'Vendas'!$A$6:$A$437,A18)</x:f>
        <x:v>334</x:v>
      </x:c>
      <x:c r="Q18" s="16" t="n">
        <x:f>SUMIFS('Vendas'!$R$6:$R$437,'Vendas'!$A$6:$A$437,A18)</x:f>
        <x:v>222</x:v>
      </x:c>
      <x:c r="R18" s="16" t="n">
        <x:f>SUMIFS('Vendas'!$S$6:$S$437,'Vendas'!$A$6:$A$437,A18)</x:f>
        <x:v>51</x:v>
      </x:c>
      <x:c r="S18" s="17" t="n">
        <x:f>SUMIFS('Vendas'!$K$6:$K$437,'Vendas'!$A$6:$A$437,A18)</x:f>
        <x:v>46179.240000000005</x:v>
      </x:c>
      <x:c r="T18" s="17" t="n">
        <x:f>SUMIFS('Vendas'!$G$6:$G$437,'Vendas'!$A$6:$A$437,A18)</x:f>
        <x:v>38499.12000000001</x:v>
      </x:c>
      <x:c r="U18" s="17" t="n">
        <x:f>SUMIFS('Vendas'!$H$6:$H$437,'Vendas'!$A$6:$A$437,A18)</x:f>
        <x:v>19452.180000000004</x:v>
      </x:c>
      <x:c r="V18" s="16" t="n">
        <x:f>SUMIFS('Vendas'!$P$6:$P$437,'Vendas'!$A$6:$A$437,A18)</x:f>
        <x:v>25</x:v>
      </x:c>
    </x:row>
    <x:row r="19" ht="24" customHeight="1">
      <x:c r="A19" s="14" t="n">
        <x:v>45323</x:v>
      </x:c>
      <x:c r="B19" s="17" t="n">
        <x:f>SUMIFS('Vendas'!$F$6:$F$437,'Vendas'!$A$6:$A$437,A19)</x:f>
        <x:v>1122790.5699999998</x:v>
      </x:c>
      <x:c r="C19" s="16" t="n">
        <x:f>SUMIFS('Vendas'!$E$6:$E$437,'Vendas'!$A$6:$A$437,A19)</x:f>
        <x:v>967</x:v>
      </x:c>
      <x:c r="D19" s="17" t="n">
        <x:f>SUMIFS('Vendas'!$I$6:$I$437,'Vendas'!$A$6:$A$437,A19)</x:f>
        <x:v>1068085.7500000002</x:v>
      </x:c>
      <x:c r="E19" s="17" t="n">
        <x:f>SUMIFS('Vendas'!$J$6:$J$437,'Vendas'!$A$6:$A$437,A19)</x:f>
        <x:v>591771.23</x:v>
      </x:c>
      <x:c r="F19" s="17" t="n">
        <x:f>SUMIFS('Vendas'!$X$6:$X$437,'Vendas'!$A$6:$A$437,A19)</x:f>
        <x:v>361927.32000000007</x:v>
      </x:c>
      <x:c r="G19" s="22" t="n">
        <x:f>IF(D19=0,"",(D19-E19)/D19)</x:f>
        <x:v>0.4459515727084648</x:v>
      </x:c>
      <x:c r="H19" s="22" t="n">
        <x:f>IF(D19=0,"",F19/D19)</x:f>
        <x:v>0.3388560515857458</x:v>
      </x:c>
      <x:c r="I19" s="17" t="n">
        <x:f>IF(C19=0,"",B19/C19)</x:f>
        <x:v>1161.1071044467424</x:v>
      </x:c>
      <x:c r="J19" s="17" t="n">
        <x:f>IF(N19=0,"",M19/N19)</x:f>
        <x:v>122.10680216802167</x:v>
      </x:c>
      <x:c r="K19" s="22" t="n">
        <x:f>IF(C19=0,"",O19/C19)</x:f>
        <x:v>0.09203722854188211</x:v>
      </x:c>
      <x:c r="L19" s="23" t="n">
        <x:f>IF(P19=0,"",100*(Q19-R19)/P19)</x:f>
        <x:v>51.768488745980704</x:v>
      </x:c>
      <x:c r="M19" s="17" t="n">
        <x:f>SUMIFS('Vendas'!$M$6:$M$437,'Vendas'!$A$6:$A$437,A19)</x:f>
        <x:v>45057.409999999996</x:v>
      </x:c>
      <x:c r="N19" s="16" t="n">
        <x:f>SUMIFS('Vendas'!$N$6:$N$437,'Vendas'!$A$6:$A$437,A19)</x:f>
        <x:v>369</x:v>
      </x:c>
      <x:c r="O19" s="16" t="n">
        <x:f>SUMIFS('Vendas'!$O$6:$O$437,'Vendas'!$A$6:$A$437,A19)</x:f>
        <x:v>89</x:v>
      </x:c>
      <x:c r="P19" s="16" t="n">
        <x:f>SUMIFS('Vendas'!$Q$6:$Q$437,'Vendas'!$A$6:$A$437,A19)</x:f>
        <x:v>311</x:v>
      </x:c>
      <x:c r="Q19" s="16" t="n">
        <x:f>SUMIFS('Vendas'!$R$6:$R$437,'Vendas'!$A$6:$A$437,A19)</x:f>
        <x:v>207</x:v>
      </x:c>
      <x:c r="R19" s="16" t="n">
        <x:f>SUMIFS('Vendas'!$S$6:$S$437,'Vendas'!$A$6:$A$437,A19)</x:f>
        <x:v>46</x:v>
      </x:c>
      <x:c r="S19" s="17" t="n">
        <x:f>SUMIFS('Vendas'!$K$6:$K$437,'Vendas'!$A$6:$A$437,A19)</x:f>
        <x:v>43695.73</x:v>
      </x:c>
      <x:c r="T19" s="17" t="n">
        <x:f>SUMIFS('Vendas'!$G$6:$G$437,'Vendas'!$A$6:$A$437,A19)</x:f>
        <x:v>36178.799999999996</x:v>
      </x:c>
      <x:c r="U19" s="17" t="n">
        <x:f>SUMIFS('Vendas'!$H$6:$H$437,'Vendas'!$A$6:$A$437,A19)</x:f>
        <x:v>18526.019999999997</x:v>
      </x:c>
      <x:c r="V19" s="16" t="n">
        <x:f>SUMIFS('Vendas'!$P$6:$P$437,'Vendas'!$A$6:$A$437,A19)</x:f>
        <x:v>24</x:v>
      </x:c>
    </x:row>
    <x:row r="20" ht="24" customHeight="1">
      <x:c r="A20" s="14" t="n">
        <x:v>45352</x:v>
      </x:c>
      <x:c r="B20" s="17" t="n">
        <x:f>SUMIFS('Vendas'!$F$6:$F$437,'Vendas'!$A$6:$A$437,A20)</x:f>
        <x:v>1220689.3699999999</x:v>
      </x:c>
      <x:c r="C20" s="16" t="n">
        <x:f>SUMIFS('Vendas'!$E$6:$E$437,'Vendas'!$A$6:$A$437,A20)</x:f>
        <x:v>1051</x:v>
      </x:c>
      <x:c r="D20" s="17" t="n">
        <x:f>SUMIFS('Vendas'!$I$6:$I$437,'Vendas'!$A$6:$A$437,A20)</x:f>
        <x:v>1159926.1700000004</x:v>
      </x:c>
      <x:c r="E20" s="17" t="n">
        <x:f>SUMIFS('Vendas'!$J$6:$J$437,'Vendas'!$A$6:$A$437,A20)</x:f>
        <x:v>647826.7</x:v>
      </x:c>
      <x:c r="F20" s="17" t="n">
        <x:f>SUMIFS('Vendas'!$X$6:$X$437,'Vendas'!$A$6:$A$437,A20)</x:f>
        <x:v>385868.72000000003</x:v>
      </x:c>
      <x:c r="G20" s="22" t="n">
        <x:f>IF(D20=0,"",(D20-E20)/D20)</x:f>
        <x:v>0.44149315986206283</x:v>
      </x:c>
      <x:c r="H20" s="22" t="n">
        <x:f>IF(D20=0,"",F20/D20)</x:f>
        <x:v>0.33266662135918523</x:v>
      </x:c>
      <x:c r="I20" s="17" t="n">
        <x:f>IF(C20=0,"",B20/C20)</x:f>
        <x:v>1161.4551569933396</x:v>
      </x:c>
      <x:c r="J20" s="17" t="n">
        <x:f>IF(N20=0,"",M20/N20)</x:f>
        <x:v>122.65180693069307</x:v>
      </x:c>
      <x:c r="K20" s="22" t="n">
        <x:f>IF(C20=0,"",O20/C20)</x:f>
        <x:v>0.09514747859181731</x:v>
      </x:c>
      <x:c r="L20" s="23" t="n">
        <x:f>IF(P20=0,"",100*(Q20-R20)/P20)</x:f>
        <x:v>49.70238095238095</x:v>
      </x:c>
      <x:c r="M20" s="17" t="n">
        <x:f>SUMIFS('Vendas'!$M$6:$M$437,'Vendas'!$A$6:$A$437,A20)</x:f>
        <x:v>49551.33</x:v>
      </x:c>
      <x:c r="N20" s="16" t="n">
        <x:f>SUMIFS('Vendas'!$N$6:$N$437,'Vendas'!$A$6:$A$437,A20)</x:f>
        <x:v>404</x:v>
      </x:c>
      <x:c r="O20" s="16" t="n">
        <x:f>SUMIFS('Vendas'!$O$6:$O$437,'Vendas'!$A$6:$A$437,A20)</x:f>
        <x:v>100</x:v>
      </x:c>
      <x:c r="P20" s="16" t="n">
        <x:f>SUMIFS('Vendas'!$Q$6:$Q$437,'Vendas'!$A$6:$A$437,A20)</x:f>
        <x:v>336</x:v>
      </x:c>
      <x:c r="Q20" s="16" t="n">
        <x:f>SUMIFS('Vendas'!$R$6:$R$437,'Vendas'!$A$6:$A$437,A20)</x:f>
        <x:v>221</x:v>
      </x:c>
      <x:c r="R20" s="16" t="n">
        <x:f>SUMIFS('Vendas'!$S$6:$S$437,'Vendas'!$A$6:$A$437,A20)</x:f>
        <x:v>54</x:v>
      </x:c>
      <x:c r="S20" s="17" t="n">
        <x:f>SUMIFS('Vendas'!$K$6:$K$437,'Vendas'!$A$6:$A$437,A20)</x:f>
        <x:v>48841.200000000004</x:v>
      </x:c>
      <x:c r="T20" s="17" t="n">
        <x:f>SUMIFS('Vendas'!$G$6:$G$437,'Vendas'!$A$6:$A$437,A20)</x:f>
        <x:v>40011.48</x:v>
      </x:c>
      <x:c r="U20" s="17" t="n">
        <x:f>SUMIFS('Vendas'!$H$6:$H$437,'Vendas'!$A$6:$A$437,A20)</x:f>
        <x:v>20751.719999999998</x:v>
      </x:c>
      <x:c r="V20" s="16" t="n">
        <x:f>SUMIFS('Vendas'!$P$6:$P$437,'Vendas'!$A$6:$A$437,A20)</x:f>
        <x:v>25</x:v>
      </x:c>
    </x:row>
    <x:row r="21" ht="24" customHeight="1">
      <x:c r="A21" s="14" t="n">
        <x:v>45383</x:v>
      </x:c>
      <x:c r="B21" s="17" t="n">
        <x:f>SUMIFS('Vendas'!$F$6:$F$437,'Vendas'!$A$6:$A$437,A21)</x:f>
        <x:v>1245193.81</x:v>
      </x:c>
      <x:c r="C21" s="16" t="n">
        <x:f>SUMIFS('Vendas'!$E$6:$E$437,'Vendas'!$A$6:$A$437,A21)</x:f>
        <x:v>1071</x:v>
      </x:c>
      <x:c r="D21" s="17" t="n">
        <x:f>SUMIFS('Vendas'!$I$6:$I$437,'Vendas'!$A$6:$A$437,A21)</x:f>
        <x:v>1181896.44</x:v>
      </x:c>
      <x:c r="E21" s="17" t="n">
        <x:f>SUMIFS('Vendas'!$J$6:$J$437,'Vendas'!$A$6:$A$437,A21)</x:f>
        <x:v>667443.41</x:v>
      </x:c>
      <x:c r="F21" s="17" t="n">
        <x:f>SUMIFS('Vendas'!$X$6:$X$437,'Vendas'!$A$6:$A$437,A21)</x:f>
        <x:v>386285.01</x:v>
      </x:c>
      <x:c r="G21" s="22" t="n">
        <x:f>IF(D21=0,"",(D21-E21)/D21)</x:f>
        <x:v>0.4352775865878739</x:v>
      </x:c>
      <x:c r="H21" s="22" t="n">
        <x:f>IF(D21=0,"",F21/D21)</x:f>
        <x:v>0.3268349044185293</x:v>
      </x:c>
      <x:c r="I21" s="17" t="n">
        <x:f>IF(C21=0,"",B21/C21)</x:f>
        <x:v>1162.6459477124183</x:v>
      </x:c>
      <x:c r="J21" s="17" t="n">
        <x:f>IF(N21=0,"",M21/N21)</x:f>
        <x:v>121.11712530712533</x:v>
      </x:c>
      <x:c r="K21" s="22" t="n">
        <x:f>IF(C21=0,"",O21/C21)</x:f>
        <x:v>0.10084033613445378</x:v>
      </x:c>
      <x:c r="L21" s="23" t="n">
        <x:f>IF(P21=0,"",100*(Q21-R21)/P21)</x:f>
        <x:v>49.12280701754386</x:v>
      </x:c>
      <x:c r="M21" s="17" t="n">
        <x:f>SUMIFS('Vendas'!$M$6:$M$437,'Vendas'!$A$6:$A$437,A21)</x:f>
        <x:v>49294.67000000001</x:v>
      </x:c>
      <x:c r="N21" s="16" t="n">
        <x:f>SUMIFS('Vendas'!$N$6:$N$437,'Vendas'!$A$6:$A$437,A21)</x:f>
        <x:v>407</x:v>
      </x:c>
      <x:c r="O21" s="16" t="n">
        <x:f>SUMIFS('Vendas'!$O$6:$O$437,'Vendas'!$A$6:$A$437,A21)</x:f>
        <x:v>108</x:v>
      </x:c>
      <x:c r="P21" s="16" t="n">
        <x:f>SUMIFS('Vendas'!$Q$6:$Q$437,'Vendas'!$A$6:$A$437,A21)</x:f>
        <x:v>342</x:v>
      </x:c>
      <x:c r="Q21" s="16" t="n">
        <x:f>SUMIFS('Vendas'!$R$6:$R$437,'Vendas'!$A$6:$A$437,A21)</x:f>
        <x:v>221</x:v>
      </x:c>
      <x:c r="R21" s="16" t="n">
        <x:f>SUMIFS('Vendas'!$S$6:$S$437,'Vendas'!$A$6:$A$437,A21)</x:f>
        <x:v>53</x:v>
      </x:c>
      <x:c r="S21" s="17" t="n">
        <x:f>SUMIFS('Vendas'!$K$6:$K$437,'Vendas'!$A$6:$A$437,A21)</x:f>
        <x:v>50507.840000000004</x:v>
      </x:c>
      <x:c r="T21" s="17" t="n">
        <x:f>SUMIFS('Vendas'!$G$6:$G$437,'Vendas'!$A$6:$A$437,A21)</x:f>
        <x:v>41506.469999999994</x:v>
      </x:c>
      <x:c r="U21" s="17" t="n">
        <x:f>SUMIFS('Vendas'!$H$6:$H$437,'Vendas'!$A$6:$A$437,A21)</x:f>
        <x:v>21790.899999999998</x:v>
      </x:c>
      <x:c r="V21" s="16" t="n">
        <x:f>SUMIFS('Vendas'!$P$6:$P$437,'Vendas'!$A$6:$A$437,A21)</x:f>
        <x:v>26</x:v>
      </x:c>
    </x:row>
    <x:row r="22" ht="24" customHeight="1">
      <x:c r="A22" s="14" t="n">
        <x:v>45413</x:v>
      </x:c>
      <x:c r="B22" s="17" t="n">
        <x:f>SUMIFS('Vendas'!$F$6:$F$437,'Vendas'!$A$6:$A$437,A22)</x:f>
        <x:v>1255818.3399999999</x:v>
      </x:c>
      <x:c r="C22" s="16" t="n">
        <x:f>SUMIFS('Vendas'!$E$6:$E$437,'Vendas'!$A$6:$A$437,A22)</x:f>
        <x:v>1081</x:v>
      </x:c>
      <x:c r="D22" s="17" t="n">
        <x:f>SUMIFS('Vendas'!$I$6:$I$437,'Vendas'!$A$6:$A$437,A22)</x:f>
        <x:v>1190655.3299999998</x:v>
      </x:c>
      <x:c r="E22" s="17" t="n">
        <x:f>SUMIFS('Vendas'!$J$6:$J$437,'Vendas'!$A$6:$A$437,A22)</x:f>
        <x:v>671145.2799999999</x:v>
      </x:c>
      <x:c r="F22" s="17" t="n">
        <x:f>SUMIFS('Vendas'!$X$6:$X$437,'Vendas'!$A$6:$A$437,A22)</x:f>
        <x:v>388132.88000000006</x:v>
      </x:c>
      <x:c r="G22" s="22" t="n">
        <x:f>IF(D22=0,"",(D22-E22)/D22)</x:f>
        <x:v>0.43632278536896146</x:v>
      </x:c>
      <x:c r="H22" s="22" t="n">
        <x:f>IF(D22=0,"",F22/D22)</x:f>
        <x:v>0.32598256625618105</x:v>
      </x:c>
      <x:c r="I22" s="17" t="n">
        <x:f>IF(C22=0,"",B22/C22)</x:f>
        <x:v>1161.7190934320072</x:v>
      </x:c>
      <x:c r="J22" s="17" t="n">
        <x:f>IF(N22=0,"",M22/N22)</x:f>
        <x:v>122.13297820823244</x:v>
      </x:c>
      <x:c r="K22" s="22" t="n">
        <x:f>IF(C22=0,"",O22/C22)</x:f>
        <x:v>0.1036077705827937</x:v>
      </x:c>
      <x:c r="L22" s="23" t="n">
        <x:f>IF(P22=0,"",100*(Q22-R22)/P22)</x:f>
        <x:v>47.6878612716763</x:v>
      </x:c>
      <x:c r="M22" s="17" t="n">
        <x:f>SUMIFS('Vendas'!$M$6:$M$437,'Vendas'!$A$6:$A$437,A22)</x:f>
        <x:v>50440.92</x:v>
      </x:c>
      <x:c r="N22" s="16" t="n">
        <x:f>SUMIFS('Vendas'!$N$6:$N$437,'Vendas'!$A$6:$A$437,A22)</x:f>
        <x:v>413</x:v>
      </x:c>
      <x:c r="O22" s="16" t="n">
        <x:f>SUMIFS('Vendas'!$O$6:$O$437,'Vendas'!$A$6:$A$437,A22)</x:f>
        <x:v>112</x:v>
      </x:c>
      <x:c r="P22" s="16" t="n">
        <x:f>SUMIFS('Vendas'!$Q$6:$Q$437,'Vendas'!$A$6:$A$437,A22)</x:f>
        <x:v>346</x:v>
      </x:c>
      <x:c r="Q22" s="16" t="n">
        <x:f>SUMIFS('Vendas'!$R$6:$R$437,'Vendas'!$A$6:$A$437,A22)</x:f>
        <x:v>223</x:v>
      </x:c>
      <x:c r="R22" s="16" t="n">
        <x:f>SUMIFS('Vendas'!$S$6:$S$437,'Vendas'!$A$6:$A$437,A22)</x:f>
        <x:v>58</x:v>
      </x:c>
      <x:c r="S22" s="17" t="n">
        <x:f>SUMIFS('Vendas'!$K$6:$K$437,'Vendas'!$A$6:$A$437,A22)</x:f>
        <x:v>52360.51</x:v>
      </x:c>
      <x:c r="T22" s="17" t="n">
        <x:f>SUMIFS('Vendas'!$G$6:$G$437,'Vendas'!$A$6:$A$437,A22)</x:f>
        <x:v>42558.29</x:v>
      </x:c>
      <x:c r="U22" s="17" t="n">
        <x:f>SUMIFS('Vendas'!$H$6:$H$437,'Vendas'!$A$6:$A$437,A22)</x:f>
        <x:v>22604.719999999998</x:v>
      </x:c>
      <x:c r="V22" s="16" t="n">
        <x:f>SUMIFS('Vendas'!$P$6:$P$437,'Vendas'!$A$6:$A$437,A22)</x:f>
        <x:v>29</x:v>
      </x:c>
    </x:row>
    <x:row r="23" ht="24" customHeight="1">
      <x:c r="A23" s="14" t="n">
        <x:v>45444</x:v>
      </x:c>
      <x:c r="B23" s="17" t="n">
        <x:f>SUMIFS('Vendas'!$F$6:$F$437,'Vendas'!$A$6:$A$437,A23)</x:f>
        <x:v>1243909.02</x:v>
      </x:c>
      <x:c r="C23" s="16" t="n">
        <x:f>SUMIFS('Vendas'!$E$6:$E$437,'Vendas'!$A$6:$A$437,A23)</x:f>
        <x:v>1069</x:v>
      </x:c>
      <x:c r="D23" s="17" t="n">
        <x:f>SUMIFS('Vendas'!$I$6:$I$437,'Vendas'!$A$6:$A$437,A23)</x:f>
        <x:v>1178050.95</x:v>
      </x:c>
      <x:c r="E23" s="17" t="n">
        <x:f>SUMIFS('Vendas'!$J$6:$J$437,'Vendas'!$A$6:$A$437,A23)</x:f>
        <x:v>666487.3599999999</x:v>
      </x:c>
      <x:c r="F23" s="17" t="n">
        <x:f>SUMIFS('Vendas'!$X$6:$X$437,'Vendas'!$A$6:$A$437,A23)</x:f>
        <x:v>381481.59</x:v>
      </x:c>
      <x:c r="G23" s="22" t="n">
        <x:f>IF(D23=0,"",(D23-E23)/D23)</x:f>
        <x:v>0.4342457259594758</x:v>
      </x:c>
      <x:c r="H23" s="22" t="n">
        <x:f>IF(D23=0,"",F23/D23)</x:f>
        <x:v>0.3238243558141522</x:v>
      </x:c>
      <x:c r="I23" s="17" t="n">
        <x:f>IF(C23=0,"",B23/C23)</x:f>
        <x:v>1163.6192890551918</x:v>
      </x:c>
      <x:c r="J23" s="17" t="n">
        <x:f>IF(N23=0,"",M23/N23)</x:f>
        <x:v>120.67798525798524</x:v>
      </x:c>
      <x:c r="K23" s="22" t="n">
        <x:f>IF(C23=0,"",O23/C23)</x:f>
        <x:v>0.10851262862488306</x:v>
      </x:c>
      <x:c r="L23" s="23" t="n">
        <x:f>IF(P23=0,"",100*(Q23-R23)/P23)</x:f>
        <x:v>47.50733137829912</x:v>
      </x:c>
      <x:c r="M23" s="17" t="n">
        <x:f>SUMIFS('Vendas'!$M$6:$M$437,'Vendas'!$A$6:$A$437,A23)</x:f>
        <x:v>49115.939999999995</x:v>
      </x:c>
      <x:c r="N23" s="16" t="n">
        <x:f>SUMIFS('Vendas'!$N$6:$N$437,'Vendas'!$A$6:$A$437,A23)</x:f>
        <x:v>407</x:v>
      </x:c>
      <x:c r="O23" s="16" t="n">
        <x:f>SUMIFS('Vendas'!$O$6:$O$437,'Vendas'!$A$6:$A$437,A23)</x:f>
        <x:v>116</x:v>
      </x:c>
      <x:c r="P23" s="16" t="n">
        <x:f>SUMIFS('Vendas'!$Q$6:$Q$437,'Vendas'!$A$6:$A$437,A23)</x:f>
        <x:v>341</x:v>
      </x:c>
      <x:c r="Q23" s="16" t="n">
        <x:f>SUMIFS('Vendas'!$R$6:$R$437,'Vendas'!$A$6:$A$437,A23)</x:f>
        <x:v>219</x:v>
      </x:c>
      <x:c r="R23" s="16" t="n">
        <x:f>SUMIFS('Vendas'!$S$6:$S$437,'Vendas'!$A$6:$A$437,A23)</x:f>
        <x:v>57</x:v>
      </x:c>
      <x:c r="S23" s="17" t="n">
        <x:f>SUMIFS('Vendas'!$K$6:$K$437,'Vendas'!$A$6:$A$437,A23)</x:f>
        <x:v>52692.84</x:v>
      </x:c>
      <x:c r="T23" s="17" t="n">
        <x:f>SUMIFS('Vendas'!$G$6:$G$437,'Vendas'!$A$6:$A$437,A23)</x:f>
        <x:v>42845.76</x:v>
      </x:c>
      <x:c r="U23" s="17" t="n">
        <x:f>SUMIFS('Vendas'!$H$6:$H$437,'Vendas'!$A$6:$A$437,A23)</x:f>
        <x:v>23012.309999999998</x:v>
      </x:c>
      <x:c r="V23" s="16" t="n">
        <x:f>SUMIFS('Vendas'!$P$6:$P$437,'Vendas'!$A$6:$A$437,A23)</x:f>
        <x:v>27</x:v>
      </x:c>
    </x:row>
    <x:row r="24" ht="24" customHeight="1">
      <x:c r="A24" s="14" t="n">
        <x:v>45474</x:v>
      </x:c>
      <x:c r="B24" s="17" t="n">
        <x:f>SUMIFS('Vendas'!$F$6:$F$437,'Vendas'!$A$6:$A$437,A24)</x:f>
        <x:v>1281682.7</x:v>
      </x:c>
      <x:c r="C24" s="16" t="n">
        <x:f>SUMIFS('Vendas'!$E$6:$E$437,'Vendas'!$A$6:$A$437,A24)</x:f>
        <x:v>1104</x:v>
      </x:c>
      <x:c r="D24" s="17" t="n">
        <x:f>SUMIFS('Vendas'!$I$6:$I$437,'Vendas'!$A$6:$A$437,A24)</x:f>
        <x:v>1212471.81</x:v>
      </x:c>
      <x:c r="E24" s="17" t="n">
        <x:f>SUMIFS('Vendas'!$J$6:$J$437,'Vendas'!$A$6:$A$437,A24)</x:f>
        <x:v>708046.8500000001</x:v>
      </x:c>
      <x:c r="F24" s="17" t="n">
        <x:f>SUMIFS('Vendas'!$X$6:$X$437,'Vendas'!$A$6:$A$437,A24)</x:f>
        <x:v>367624.83</x:v>
      </x:c>
      <x:c r="G24" s="22" t="n">
        <x:f>IF(D24=0,"",(D24-E24)/D24)</x:f>
        <x:v>0.4160302580560615</x:v>
      </x:c>
      <x:c r="H24" s="22" t="n">
        <x:f>IF(D24=0,"",F24/D24)</x:f>
        <x:v>0.3032027853909445</x:v>
      </x:c>
      <x:c r="I24" s="17" t="n">
        <x:f>IF(C24=0,"",B24/C24)</x:f>
        <x:v>1160.9444746376812</x:v>
      </x:c>
      <x:c r="J24" s="17" t="n">
        <x:f>IF(N24=0,"",M24/N24)</x:f>
        <x:v>121.87501176470587</x:v>
      </x:c>
      <x:c r="K24" s="22" t="n">
        <x:f>IF(C24=0,"",O24/C24)</x:f>
        <x:v>0.1105072463768116</x:v>
      </x:c>
      <x:c r="L24" s="23" t="n">
        <x:f>IF(P24=0,"",100*(Q24-R24)/P24)</x:f>
        <x:v>45.32577903682719</x:v>
      </x:c>
      <x:c r="M24" s="17" t="n">
        <x:f>SUMIFS('Vendas'!$M$6:$M$437,'Vendas'!$A$6:$A$437,A24)</x:f>
        <x:v>51796.88</x:v>
      </x:c>
      <x:c r="N24" s="16" t="n">
        <x:f>SUMIFS('Vendas'!$N$6:$N$437,'Vendas'!$A$6:$A$437,A24)</x:f>
        <x:v>425</x:v>
      </x:c>
      <x:c r="O24" s="16" t="n">
        <x:f>SUMIFS('Vendas'!$O$6:$O$437,'Vendas'!$A$6:$A$437,A24)</x:f>
        <x:v>122</x:v>
      </x:c>
      <x:c r="P24" s="16" t="n">
        <x:f>SUMIFS('Vendas'!$Q$6:$Q$437,'Vendas'!$A$6:$A$437,A24)</x:f>
        <x:v>353</x:v>
      </x:c>
      <x:c r="Q24" s="16" t="n">
        <x:f>SUMIFS('Vendas'!$R$6:$R$437,'Vendas'!$A$6:$A$437,A24)</x:f>
        <x:v>221</x:v>
      </x:c>
      <x:c r="R24" s="16" t="n">
        <x:f>SUMIFS('Vendas'!$S$6:$S$437,'Vendas'!$A$6:$A$437,A24)</x:f>
        <x:v>61</x:v>
      </x:c>
      <x:c r="S24" s="17" t="n">
        <x:f>SUMIFS('Vendas'!$K$6:$K$437,'Vendas'!$A$6:$A$437,A24)</x:f>
        <x:v>55903.93</x:v>
      </x:c>
      <x:c r="T24" s="17" t="n">
        <x:f>SUMIFS('Vendas'!$G$6:$G$437,'Vendas'!$A$6:$A$437,A24)</x:f>
        <x:v>44858.91</x:v>
      </x:c>
      <x:c r="U24" s="17" t="n">
        <x:f>SUMIFS('Vendas'!$H$6:$H$437,'Vendas'!$A$6:$A$437,A24)</x:f>
        <x:v>24351.98</x:v>
      </x:c>
      <x:c r="V24" s="16" t="n">
        <x:f>SUMIFS('Vendas'!$P$6:$P$437,'Vendas'!$A$6:$A$437,A24)</x:f>
        <x:v>30</x:v>
      </x:c>
    </x:row>
    <x:row r="25" ht="24" customHeight="1">
      <x:c r="A25" s="14" t="n">
        <x:v>45505</x:v>
      </x:c>
      <x:c r="B25" s="17" t="n">
        <x:f>SUMIFS('Vendas'!$F$6:$F$437,'Vendas'!$A$6:$A$437,A25)</x:f>
        <x:v>1319564.9700000002</x:v>
      </x:c>
      <x:c r="C25" s="16" t="n">
        <x:f>SUMIFS('Vendas'!$E$6:$E$437,'Vendas'!$A$6:$A$437,A25)</x:f>
        <x:v>1133</x:v>
      </x:c>
      <x:c r="D25" s="17" t="n">
        <x:f>SUMIFS('Vendas'!$I$6:$I$437,'Vendas'!$A$6:$A$437,A25)</x:f>
        <x:v>1246915.58</x:v>
      </x:c>
      <x:c r="E25" s="17" t="n">
        <x:f>SUMIFS('Vendas'!$J$6:$J$437,'Vendas'!$A$6:$A$437,A25)</x:f>
        <x:v>717353.6000000001</x:v>
      </x:c>
      <x:c r="F25" s="17" t="n">
        <x:f>SUMIFS('Vendas'!$X$6:$X$437,'Vendas'!$A$6:$A$437,A25)</x:f>
        <x:v>389688.55999999994</x:v>
      </x:c>
      <x:c r="G25" s="22" t="n">
        <x:f>IF(D25=0,"",(D25-E25)/D25)</x:f>
        <x:v>0.4246975404702217</x:v>
      </x:c>
      <x:c r="H25" s="22" t="n">
        <x:f>IF(D25=0,"",F25/D25)</x:f>
        <x:v>0.31252200730381435</x:v>
      </x:c>
      <x:c r="I25" s="17" t="n">
        <x:f>IF(C25=0,"",B25/C25)</x:f>
        <x:v>1164.6645807590469</x:v>
      </x:c>
      <x:c r="J25" s="17" t="n">
        <x:f>IF(N25=0,"",M25/N25)</x:f>
        <x:v>120.65986013986013</x:v>
      </x:c>
      <x:c r="K25" s="22" t="n">
        <x:f>IF(C25=0,"",O25/C25)</x:f>
        <x:v>0.11650485436893204</x:v>
      </x:c>
      <x:c r="L25" s="23" t="n">
        <x:f>IF(P25=0,"",100*(Q25-R25)/P25)</x:f>
        <x:v>45.027624309392266</x:v>
      </x:c>
      <x:c r="M25" s="17" t="n">
        <x:f>SUMIFS('Vendas'!$M$6:$M$437,'Vendas'!$A$6:$A$437,A25)</x:f>
        <x:v>51763.079999999994</x:v>
      </x:c>
      <x:c r="N25" s="16" t="n">
        <x:f>SUMIFS('Vendas'!$N$6:$N$437,'Vendas'!$A$6:$A$437,A25)</x:f>
        <x:v>429</x:v>
      </x:c>
      <x:c r="O25" s="16" t="n">
        <x:f>SUMIFS('Vendas'!$O$6:$O$437,'Vendas'!$A$6:$A$437,A25)</x:f>
        <x:v>132</x:v>
      </x:c>
      <x:c r="P25" s="16" t="n">
        <x:f>SUMIFS('Vendas'!$Q$6:$Q$437,'Vendas'!$A$6:$A$437,A25)</x:f>
        <x:v>362</x:v>
      </x:c>
      <x:c r="Q25" s="16" t="n">
        <x:f>SUMIFS('Vendas'!$R$6:$R$437,'Vendas'!$A$6:$A$437,A25)</x:f>
        <x:v>226</x:v>
      </x:c>
      <x:c r="R25" s="16" t="n">
        <x:f>SUMIFS('Vendas'!$S$6:$S$437,'Vendas'!$A$6:$A$437,A25)</x:f>
        <x:v>63</x:v>
      </x:c>
      <x:c r="S25" s="17" t="n">
        <x:f>SUMIFS('Vendas'!$K$6:$K$437,'Vendas'!$A$6:$A$437,A25)</x:f>
        <x:v>58184.37999999999</x:v>
      </x:c>
      <x:c r="T25" s="17" t="n">
        <x:f>SUMIFS('Vendas'!$G$6:$G$437,'Vendas'!$A$6:$A$437,A25)</x:f>
        <x:v>46917.87</x:v>
      </x:c>
      <x:c r="U25" s="17" t="n">
        <x:f>SUMIFS('Vendas'!$H$6:$H$437,'Vendas'!$A$6:$A$437,A25)</x:f>
        <x:v>25731.520000000004</x:v>
      </x:c>
      <x:c r="V25" s="16" t="n">
        <x:f>SUMIFS('Vendas'!$P$6:$P$437,'Vendas'!$A$6:$A$437,A25)</x:f>
        <x:v>32</x:v>
      </x:c>
    </x:row>
    <x:row r="26" ht="24" customHeight="1">
      <x:c r="A26" s="14" t="n">
        <x:v>45536</x:v>
      </x:c>
      <x:c r="B26" s="17" t="n">
        <x:f>SUMIFS('Vendas'!$F$6:$F$437,'Vendas'!$A$6:$A$437,A26)</x:f>
        <x:v>1328331.82</x:v>
      </x:c>
      <x:c r="C26" s="16" t="n">
        <x:f>SUMIFS('Vendas'!$E$6:$E$437,'Vendas'!$A$6:$A$437,A26)</x:f>
        <x:v>1140</x:v>
      </x:c>
      <x:c r="D26" s="17" t="n">
        <x:f>SUMIFS('Vendas'!$I$6:$I$437,'Vendas'!$A$6:$A$437,A26)</x:f>
        <x:v>1253797.6500000001</x:v>
      </x:c>
      <x:c r="E26" s="17" t="n">
        <x:f>SUMIFS('Vendas'!$J$6:$J$437,'Vendas'!$A$6:$A$437,A26)</x:f>
        <x:v>726147</x:v>
      </x:c>
      <x:c r="F26" s="17" t="n">
        <x:f>SUMIFS('Vendas'!$X$6:$X$437,'Vendas'!$A$6:$A$437,A26)</x:f>
        <x:v>386148.74999999994</x:v>
      </x:c>
      <x:c r="G26" s="22" t="n">
        <x:f>IF(D26=0,"",(D26-E26)/D26)</x:f>
        <x:v>0.4208419516498536</x:v>
      </x:c>
      <x:c r="H26" s="22" t="n">
        <x:f>IF(D26=0,"",F26/D26)</x:f>
        <x:v>0.3079833097469914</x:v>
      </x:c>
      <x:c r="I26" s="17" t="n">
        <x:f>IF(C26=0,"",B26/C26)</x:f>
        <x:v>1165.203350877193</x:v>
      </x:c>
      <x:c r="J26" s="17" t="n">
        <x:f>IF(N26=0,"",M26/N26)</x:f>
        <x:v>120.36839534883721</x:v>
      </x:c>
      <x:c r="K26" s="22" t="n">
        <x:f>IF(C26=0,"",O26/C26)</x:f>
        <x:v>0.11929824561403508</x:v>
      </x:c>
      <x:c r="L26" s="23" t="n">
        <x:f>IF(P26=0,"",100*(Q26-R26)/P26)</x:f>
        <x:v>44.23076923076923</x:v>
      </x:c>
      <x:c r="M26" s="17" t="n">
        <x:f>SUMIFS('Vendas'!$M$6:$M$437,'Vendas'!$A$6:$A$437,A26)</x:f>
        <x:v>51758.41</x:v>
      </x:c>
      <x:c r="N26" s="16" t="n">
        <x:f>SUMIFS('Vendas'!$N$6:$N$437,'Vendas'!$A$6:$A$437,A26)</x:f>
        <x:v>430</x:v>
      </x:c>
      <x:c r="O26" s="16" t="n">
        <x:f>SUMIFS('Vendas'!$O$6:$O$437,'Vendas'!$A$6:$A$437,A26)</x:f>
        <x:v>136</x:v>
      </x:c>
      <x:c r="P26" s="16" t="n">
        <x:f>SUMIFS('Vendas'!$Q$6:$Q$437,'Vendas'!$A$6:$A$437,A26)</x:f>
        <x:v>364</x:v>
      </x:c>
      <x:c r="Q26" s="16" t="n">
        <x:f>SUMIFS('Vendas'!$R$6:$R$437,'Vendas'!$A$6:$A$437,A26)</x:f>
        <x:v>226</x:v>
      </x:c>
      <x:c r="R26" s="16" t="n">
        <x:f>SUMIFS('Vendas'!$S$6:$S$437,'Vendas'!$A$6:$A$437,A26)</x:f>
        <x:v>65</x:v>
      </x:c>
      <x:c r="S26" s="17" t="n">
        <x:f>SUMIFS('Vendas'!$K$6:$K$437,'Vendas'!$A$6:$A$437,A26)</x:f>
        <x:v>59652.34</x:v>
      </x:c>
      <x:c r="T26" s="17" t="n">
        <x:f>SUMIFS('Vendas'!$G$6:$G$437,'Vendas'!$A$6:$A$437,A26)</x:f>
        <x:v>47967.53999999999</x:v>
      </x:c>
      <x:c r="U26" s="17" t="n">
        <x:f>SUMIFS('Vendas'!$H$6:$H$437,'Vendas'!$A$6:$A$437,A26)</x:f>
        <x:v>26566.63</x:v>
      </x:c>
      <x:c r="V26" s="16" t="n">
        <x:f>SUMIFS('Vendas'!$P$6:$P$437,'Vendas'!$A$6:$A$437,A26)</x:f>
        <x:v>33</x:v>
      </x:c>
    </x:row>
    <x:row r="27" ht="24" customHeight="1">
      <x:c r="A27" s="14" t="n">
        <x:v>45566</x:v>
      </x:c>
      <x:c r="B27" s="17" t="n">
        <x:f>SUMIFS('Vendas'!$F$6:$F$437,'Vendas'!$A$6:$A$437,A27)</x:f>
        <x:v>1361154.72</x:v>
      </x:c>
      <x:c r="C27" s="16" t="n">
        <x:f>SUMIFS('Vendas'!$E$6:$E$437,'Vendas'!$A$6:$A$437,A27)</x:f>
        <x:v>1172</x:v>
      </x:c>
      <x:c r="D27" s="17" t="n">
        <x:f>SUMIFS('Vendas'!$I$6:$I$437,'Vendas'!$A$6:$A$437,A27)</x:f>
        <x:v>1283342.0199999998</x:v>
      </x:c>
      <x:c r="E27" s="17" t="n">
        <x:f>SUMIFS('Vendas'!$J$6:$J$437,'Vendas'!$A$6:$A$437,A27)</x:f>
        <x:v>743173.8600000002</x:v>
      </x:c>
      <x:c r="F27" s="17" t="n">
        <x:f>SUMIFS('Vendas'!$X$6:$X$437,'Vendas'!$A$6:$A$437,A27)</x:f>
        <x:v>393330.8599999999</x:v>
      </x:c>
      <x:c r="G27" s="22" t="n">
        <x:f>IF(D27=0,"",(D27-E27)/D27)</x:f>
        <x:v>0.4209074054942888</x:v>
      </x:c>
      <x:c r="H27" s="22" t="n">
        <x:f>IF(D27=0,"",F27/D27)</x:f>
        <x:v>0.30648950464506725</x:v>
      </x:c>
      <x:c r="I27" s="17" t="n">
        <x:f>IF(C27=0,"",B27/C27)</x:f>
        <x:v>1161.3948122866893</x:v>
      </x:c>
      <x:c r="J27" s="17" t="n">
        <x:f>IF(N27=0,"",M27/N27)</x:f>
        <x:v>120.23042696629216</x:v>
      </x:c>
      <x:c r="K27" s="22" t="n">
        <x:f>IF(C27=0,"",O27/C27)</x:f>
        <x:v>0.12457337883959044</x:v>
      </x:c>
      <x:c r="L27" s="23" t="n">
        <x:f>IF(P27=0,"",100*(Q27-R27)/P27)</x:f>
        <x:v>42.74193548387097</x:v>
      </x:c>
      <x:c r="M27" s="17" t="n">
        <x:f>SUMIFS('Vendas'!$M$6:$M$437,'Vendas'!$A$6:$A$437,A27)</x:f>
        <x:v>53502.54000000001</x:v>
      </x:c>
      <x:c r="N27" s="16" t="n">
        <x:f>SUMIFS('Vendas'!$N$6:$N$437,'Vendas'!$A$6:$A$437,A27)</x:f>
        <x:v>445</x:v>
      </x:c>
      <x:c r="O27" s="16" t="n">
        <x:f>SUMIFS('Vendas'!$O$6:$O$437,'Vendas'!$A$6:$A$437,A27)</x:f>
        <x:v>146</x:v>
      </x:c>
      <x:c r="P27" s="16" t="n">
        <x:f>SUMIFS('Vendas'!$Q$6:$Q$437,'Vendas'!$A$6:$A$437,A27)</x:f>
        <x:v>372</x:v>
      </x:c>
      <x:c r="Q27" s="16" t="n">
        <x:f>SUMIFS('Vendas'!$R$6:$R$437,'Vendas'!$A$6:$A$437,A27)</x:f>
        <x:v>228</x:v>
      </x:c>
      <x:c r="R27" s="16" t="n">
        <x:f>SUMIFS('Vendas'!$S$6:$S$437,'Vendas'!$A$6:$A$437,A27)</x:f>
        <x:v>69</x:v>
      </x:c>
      <x:c r="S27" s="17" t="n">
        <x:f>SUMIFS('Vendas'!$K$6:$K$437,'Vendas'!$A$6:$A$437,A27)</x:f>
        <x:v>62534.56000000001</x:v>
      </x:c>
      <x:c r="T27" s="17" t="n">
        <x:f>SUMIFS('Vendas'!$G$6:$G$437,'Vendas'!$A$6:$A$437,A27)</x:f>
        <x:v>49909.02</x:v>
      </x:c>
      <x:c r="U27" s="17" t="n">
        <x:f>SUMIFS('Vendas'!$H$6:$H$437,'Vendas'!$A$6:$A$437,A27)</x:f>
        <x:v>27903.68</x:v>
      </x:c>
      <x:c r="V27" s="16" t="n">
        <x:f>SUMIFS('Vendas'!$P$6:$P$437,'Vendas'!$A$6:$A$437,A27)</x:f>
        <x:v>34</x:v>
      </x:c>
    </x:row>
    <x:row r="28" ht="24" customHeight="1">
      <x:c r="A28" s="14" t="n">
        <x:v>45597</x:v>
      </x:c>
      <x:c r="B28" s="17" t="n">
        <x:f>SUMIFS('Vendas'!$F$6:$F$437,'Vendas'!$A$6:$A$437,A28)</x:f>
        <x:v>1777628.2799999998</x:v>
      </x:c>
      <x:c r="C28" s="16" t="n">
        <x:f>SUMIFS('Vendas'!$E$6:$E$437,'Vendas'!$A$6:$A$437,A28)</x:f>
        <x:v>1529</x:v>
      </x:c>
      <x:c r="D28" s="17" t="n">
        <x:f>SUMIFS('Vendas'!$I$6:$I$437,'Vendas'!$A$6:$A$437,A28)</x:f>
        <x:v>1674130.7999999998</x:v>
      </x:c>
      <x:c r="E28" s="17" t="n">
        <x:f>SUMIFS('Vendas'!$J$6:$J$437,'Vendas'!$A$6:$A$437,A28)</x:f>
        <x:v>965910.6699999998</x:v>
      </x:c>
      <x:c r="F28" s="17" t="n">
        <x:f>SUMIFS('Vendas'!$X$6:$X$437,'Vendas'!$A$6:$A$437,A28)</x:f>
        <x:v>516257.59</x:v>
      </x:c>
      <x:c r="G28" s="22" t="n">
        <x:f>IF(D28=0,"",(D28-E28)/D28)</x:f>
        <x:v>0.4230375129589636</x:v>
      </x:c>
      <x:c r="H28" s="22" t="n">
        <x:f>IF(D28=0,"",F28/D28)</x:f>
        <x:v>0.30837350940559727</x:v>
      </x:c>
      <x:c r="I28" s="17" t="n">
        <x:f>IF(C28=0,"",B28/C28)</x:f>
        <x:v>1162.6084238064093</x:v>
      </x:c>
      <x:c r="J28" s="17" t="n">
        <x:f>IF(N28=0,"",M28/N28)</x:f>
        <x:v>119.56979166666672</x:v>
      </x:c>
      <x:c r="K28" s="22" t="n">
        <x:f>IF(C28=0,"",O28/C28)</x:f>
        <x:v>0.12884238064094178</x:v>
      </x:c>
      <x:c r="L28" s="23" t="n">
        <x:f>IF(P28=0,"",100*(Q28-R28)/P28)</x:f>
        <x:v>41.80327868852459</x:v>
      </x:c>
      <x:c r="M28" s="17" t="n">
        <x:f>SUMIFS('Vendas'!$M$6:$M$437,'Vendas'!$A$6:$A$437,A28)</x:f>
        <x:v>68872.20000000003</x:v>
      </x:c>
      <x:c r="N28" s="16" t="n">
        <x:f>SUMIFS('Vendas'!$N$6:$N$437,'Vendas'!$A$6:$A$437,A28)</x:f>
        <x:v>576</x:v>
      </x:c>
      <x:c r="O28" s="16" t="n">
        <x:f>SUMIFS('Vendas'!$O$6:$O$437,'Vendas'!$A$6:$A$437,A28)</x:f>
        <x:v>197</x:v>
      </x:c>
      <x:c r="P28" s="16" t="n">
        <x:f>SUMIFS('Vendas'!$Q$6:$Q$437,'Vendas'!$A$6:$A$437,A28)</x:f>
        <x:v>488</x:v>
      </x:c>
      <x:c r="Q28" s="16" t="n">
        <x:f>SUMIFS('Vendas'!$R$6:$R$437,'Vendas'!$A$6:$A$437,A28)</x:f>
        <x:v>296</x:v>
      </x:c>
      <x:c r="R28" s="16" t="n">
        <x:f>SUMIFS('Vendas'!$S$6:$S$437,'Vendas'!$A$6:$A$437,A28)</x:f>
        <x:v>92</x:v>
      </x:c>
      <x:c r="S28" s="17" t="n">
        <x:f>SUMIFS('Vendas'!$K$6:$K$437,'Vendas'!$A$6:$A$437,A28)</x:f>
        <x:v>82911.2</x:v>
      </x:c>
      <x:c r="T28" s="17" t="n">
        <x:f>SUMIFS('Vendas'!$G$6:$G$437,'Vendas'!$A$6:$A$437,A28)</x:f>
        <x:v>66167.29000000001</x:v>
      </x:c>
      <x:c r="U28" s="17" t="n">
        <x:f>SUMIFS('Vendas'!$H$6:$H$437,'Vendas'!$A$6:$A$437,A28)</x:f>
        <x:v>37330.189999999995</x:v>
      </x:c>
      <x:c r="V28" s="16" t="n">
        <x:f>SUMIFS('Vendas'!$P$6:$P$437,'Vendas'!$A$6:$A$437,A28)</x:f>
        <x:v>46</x:v>
      </x:c>
    </x:row>
    <x:row r="29" ht="24" customHeight="1">
      <x:c r="A29" s="14" t="n">
        <x:v>45627</x:v>
      </x:c>
      <x:c r="B29" s="17" t="n">
        <x:f>SUMIFS('Vendas'!$F$6:$F$437,'Vendas'!$A$6:$A$437,A29)</x:f>
        <x:v>1804495.0700000003</x:v>
      </x:c>
      <x:c r="C29" s="16" t="n">
        <x:f>SUMIFS('Vendas'!$E$6:$E$437,'Vendas'!$A$6:$A$437,A29)</x:f>
        <x:v>1553</x:v>
      </x:c>
      <x:c r="D29" s="17" t="n">
        <x:f>SUMIFS('Vendas'!$I$6:$I$437,'Vendas'!$A$6:$A$437,A29)</x:f>
        <x:v>1697528.6000000003</x:v>
      </x:c>
      <x:c r="E29" s="17" t="n">
        <x:f>SUMIFS('Vendas'!$J$6:$J$437,'Vendas'!$A$6:$A$437,A29)</x:f>
        <x:v>1004175.7999999999</x:v>
      </x:c>
      <x:c r="F29" s="17" t="n">
        <x:f>SUMIFS('Vendas'!$X$6:$X$437,'Vendas'!$A$6:$A$437,A29)</x:f>
        <x:v>495195.23</x:v>
      </x:c>
      <x:c r="G29" s="22" t="n">
        <x:f>IF(D29=0,"",(D29-E29)/D29)</x:f>
        <x:v>0.40844837606859774</x:v>
      </x:c>
      <x:c r="H29" s="22" t="n">
        <x:f>IF(D29=0,"",F29/D29)</x:f>
        <x:v>0.2917153973134826</x:v>
      </x:c>
      <x:c r="I29" s="17" t="n">
        <x:f>IF(C29=0,"",B29/C29)</x:f>
        <x:v>1161.9414488087575</x:v>
      </x:c>
      <x:c r="J29" s="17" t="n">
        <x:f>IF(N29=0,"",M29/N29)</x:f>
        <x:v>120.2041047297297</x:v>
      </x:c>
      <x:c r="K29" s="22" t="n">
        <x:f>IF(C29=0,"",O29/C29)</x:f>
        <x:v>0.13329040566645203</x:v>
      </x:c>
      <x:c r="L29" s="23" t="n">
        <x:f>IF(P29=0,"",100*(Q29-R29)/P29)</x:f>
        <x:v>41.36546184738956</x:v>
      </x:c>
      <x:c r="M29" s="17" t="n">
        <x:f>SUMIFS('Vendas'!$M$6:$M$437,'Vendas'!$A$6:$A$437,A29)</x:f>
        <x:v>71160.82999999999</x:v>
      </x:c>
      <x:c r="N29" s="16" t="n">
        <x:f>SUMIFS('Vendas'!$N$6:$N$437,'Vendas'!$A$6:$A$437,A29)</x:f>
        <x:v>592</x:v>
      </x:c>
      <x:c r="O29" s="16" t="n">
        <x:f>SUMIFS('Vendas'!$O$6:$O$437,'Vendas'!$A$6:$A$437,A29)</x:f>
        <x:v>207</x:v>
      </x:c>
      <x:c r="P29" s="16" t="n">
        <x:f>SUMIFS('Vendas'!$Q$6:$Q$437,'Vendas'!$A$6:$A$437,A29)</x:f>
        <x:v>498</x:v>
      </x:c>
      <x:c r="Q29" s="16" t="n">
        <x:f>SUMIFS('Vendas'!$R$6:$R$437,'Vendas'!$A$6:$A$437,A29)</x:f>
        <x:v>300</x:v>
      </x:c>
      <x:c r="R29" s="16" t="n">
        <x:f>SUMIFS('Vendas'!$S$6:$S$437,'Vendas'!$A$6:$A$437,A29)</x:f>
        <x:v>94</x:v>
      </x:c>
      <x:c r="S29" s="17" t="n">
        <x:f>SUMIFS('Vendas'!$K$6:$K$437,'Vendas'!$A$6:$A$437,A29)</x:f>
        <x:v>86256.06999999999</x:v>
      </x:c>
      <x:c r="T29" s="17" t="n">
        <x:f>SUMIFS('Vendas'!$G$6:$G$437,'Vendas'!$A$6:$A$437,A29)</x:f>
        <x:v>68169.82999999999</x:v>
      </x:c>
      <x:c r="U29" s="17" t="n">
        <x:f>SUMIFS('Vendas'!$H$6:$H$437,'Vendas'!$A$6:$A$437,A29)</x:f>
        <x:v>38796.64</x:v>
      </x:c>
      <x:c r="V29" s="16" t="n">
        <x:f>SUMIFS('Vendas'!$P$6:$P$437,'Vendas'!$A$6:$A$437,A29)</x:f>
        <x:v>46</x:v>
      </x:c>
    </x:row>
    <x:row r="30" ht="24" customHeight="1">
      <x:c r="A30" s="14" t="n">
        <x:v>45658</x:v>
      </x:c>
      <x:c r="B30" s="17" t="n">
        <x:f>SUMIFS('Vendas'!$F$6:$F$437,'Vendas'!$A$6:$A$437,A30)</x:f>
        <x:v>1387685.4499999997</x:v>
      </x:c>
      <x:c r="C30" s="16" t="n">
        <x:f>SUMIFS('Vendas'!$E$6:$E$437,'Vendas'!$A$6:$A$437,A30)</x:f>
        <x:v>1195</x:v>
      </x:c>
      <x:c r="D30" s="17" t="n">
        <x:f>SUMIFS('Vendas'!$I$6:$I$437,'Vendas'!$A$6:$A$437,A30)</x:f>
        <x:v>1303961.7799999998</x:v>
      </x:c>
      <x:c r="E30" s="17" t="n">
        <x:f>SUMIFS('Vendas'!$J$6:$J$437,'Vendas'!$A$6:$A$437,A30)</x:f>
        <x:v>769225.92</x:v>
      </x:c>
      <x:c r="F30" s="17" t="n">
        <x:f>SUMIFS('Vendas'!$X$6:$X$437,'Vendas'!$A$6:$A$437,A30)</x:f>
        <x:v>381186.01000000007</x:v>
      </x:c>
      <x:c r="G30" s="22" t="n">
        <x:f>IF(D30=0,"",(D30-E30)/D30)</x:f>
        <x:v>0.4100855318013998</x:v>
      </x:c>
      <x:c r="H30" s="22" t="n">
        <x:f>IF(D30=0,"",F30/D30)</x:f>
        <x:v>0.2923291279288877</x:v>
      </x:c>
      <x:c r="I30" s="17" t="n">
        <x:f>IF(C30=0,"",B30/C30)</x:f>
        <x:v>1161.243054393305</x:v>
      </x:c>
      <x:c r="J30" s="17" t="n">
        <x:f>IF(N30=0,"",M30/N30)</x:f>
        <x:v>119.66024070021886</x:v>
      </x:c>
      <x:c r="K30" s="22" t="n">
        <x:f>IF(C30=0,"",O30/C30)</x:f>
        <x:v>0.13723849372384936</x:v>
      </x:c>
      <x:c r="L30" s="23" t="n">
        <x:f>IF(P30=0,"",100*(Q30-R30)/P30)</x:f>
        <x:v>39.89501312335958</x:v>
      </x:c>
      <x:c r="M30" s="17" t="n">
        <x:f>SUMIFS('Vendas'!$M$6:$M$437,'Vendas'!$A$6:$A$437,A30)</x:f>
        <x:v>54684.73000000002</x:v>
      </x:c>
      <x:c r="N30" s="16" t="n">
        <x:f>SUMIFS('Vendas'!$N$6:$N$437,'Vendas'!$A$6:$A$437,A30)</x:f>
        <x:v>457</x:v>
      </x:c>
      <x:c r="O30" s="16" t="n">
        <x:f>SUMIFS('Vendas'!$O$6:$O$437,'Vendas'!$A$6:$A$437,A30)</x:f>
        <x:v>164</x:v>
      </x:c>
      <x:c r="P30" s="16" t="n">
        <x:f>SUMIFS('Vendas'!$Q$6:$Q$437,'Vendas'!$A$6:$A$437,A30)</x:f>
        <x:v>381</x:v>
      </x:c>
      <x:c r="Q30" s="16" t="n">
        <x:f>SUMIFS('Vendas'!$R$6:$R$437,'Vendas'!$A$6:$A$437,A30)</x:f>
        <x:v>227</x:v>
      </x:c>
      <x:c r="R30" s="16" t="n">
        <x:f>SUMIFS('Vendas'!$S$6:$S$437,'Vendas'!$A$6:$A$437,A30)</x:f>
        <x:v>75</x:v>
      </x:c>
      <x:c r="S30" s="17" t="n">
        <x:f>SUMIFS('Vendas'!$K$6:$K$437,'Vendas'!$A$6:$A$437,A30)</x:f>
        <x:v>67570.04</x:v>
      </x:c>
      <x:c r="T30" s="17" t="n">
        <x:f>SUMIFS('Vendas'!$G$6:$G$437,'Vendas'!$A$6:$A$437,A30)</x:f>
        <x:v>53194.61</x:v>
      </x:c>
      <x:c r="U30" s="17" t="n">
        <x:f>SUMIFS('Vendas'!$H$6:$H$437,'Vendas'!$A$6:$A$437,A30)</x:f>
        <x:v>30529.06</x:v>
      </x:c>
      <x:c r="V30" s="16" t="n">
        <x:f>SUMIFS('Vendas'!$P$6:$P$437,'Vendas'!$A$6:$A$437,A30)</x:f>
        <x:v>35</x:v>
      </x:c>
    </x:row>
    <x:row r="31" ht="24" customHeight="1">
      <x:c r="A31" s="14" t="n">
        <x:v>45689</x:v>
      </x:c>
      <x:c r="B31" s="17" t="n">
        <x:f>SUMIFS('Vendas'!$F$6:$F$437,'Vendas'!$A$6:$A$437,A31)</x:f>
        <x:v>1334950.57</x:v>
      </x:c>
      <x:c r="C31" s="16" t="n">
        <x:f>SUMIFS('Vendas'!$E$6:$E$437,'Vendas'!$A$6:$A$437,A31)</x:f>
        <x:v>1149</x:v>
      </x:c>
      <x:c r="D31" s="17" t="n">
        <x:f>SUMIFS('Vendas'!$I$6:$I$437,'Vendas'!$A$6:$A$437,A31)</x:f>
        <x:v>1252999.4400000002</x:v>
      </x:c>
      <x:c r="E31" s="17" t="n">
        <x:f>SUMIFS('Vendas'!$J$6:$J$437,'Vendas'!$A$6:$A$437,A31)</x:f>
        <x:v>749494.3</x:v>
      </x:c>
      <x:c r="F31" s="17" t="n">
        <x:f>SUMIFS('Vendas'!$X$6:$X$437,'Vendas'!$A$6:$A$437,A31)</x:f>
        <x:v>354379.62000000005</x:v>
      </x:c>
      <x:c r="G31" s="22" t="n">
        <x:f>IF(D31=0,"",(D31-E31)/D31)</x:f>
        <x:v>0.401839876321094</x:v>
      </x:c>
      <x:c r="H31" s="22" t="n">
        <x:f>IF(D31=0,"",F31/D31)</x:f>
        <x:v>0.282825042603371</x:v>
      </x:c>
      <x:c r="I31" s="17" t="n">
        <x:f>IF(C31=0,"",B31/C31)</x:f>
        <x:v>1161.8368755439512</x:v>
      </x:c>
      <x:c r="J31" s="17" t="n">
        <x:f>IF(N31=0,"",M31/N31)</x:f>
        <x:v>120.51171232876712</x:v>
      </x:c>
      <x:c r="K31" s="22" t="n">
        <x:f>IF(C31=0,"",O31/C31)</x:f>
        <x:v>0.1409921671018277</x:v>
      </x:c>
      <x:c r="L31" s="23" t="n">
        <x:f>IF(P31=0,"",100*(Q31-R31)/P31)</x:f>
        <x:v>39.237057220708444</x:v>
      </x:c>
      <x:c r="M31" s="17" t="n">
        <x:f>SUMIFS('Vendas'!$M$6:$M$437,'Vendas'!$A$6:$A$437,A31)</x:f>
        <x:v>52784.13</x:v>
      </x:c>
      <x:c r="N31" s="16" t="n">
        <x:f>SUMIFS('Vendas'!$N$6:$N$437,'Vendas'!$A$6:$A$437,A31)</x:f>
        <x:v>438</x:v>
      </x:c>
      <x:c r="O31" s="16" t="n">
        <x:f>SUMIFS('Vendas'!$O$6:$O$437,'Vendas'!$A$6:$A$437,A31)</x:f>
        <x:v>162</x:v>
      </x:c>
      <x:c r="P31" s="16" t="n">
        <x:f>SUMIFS('Vendas'!$Q$6:$Q$437,'Vendas'!$A$6:$A$437,A31)</x:f>
        <x:v>367</x:v>
      </x:c>
      <x:c r="Q31" s="16" t="n">
        <x:f>SUMIFS('Vendas'!$R$6:$R$437,'Vendas'!$A$6:$A$437,A31)</x:f>
        <x:v>217</x:v>
      </x:c>
      <x:c r="R31" s="16" t="n">
        <x:f>SUMIFS('Vendas'!$S$6:$S$437,'Vendas'!$A$6:$A$437,A31)</x:f>
        <x:v>73</x:v>
      </x:c>
      <x:c r="S31" s="17" t="n">
        <x:f>SUMIFS('Vendas'!$K$6:$K$437,'Vendas'!$A$6:$A$437,A31)</x:f>
        <x:v>66269.40000000001</x:v>
      </x:c>
      <x:c r="T31" s="17" t="n">
        <x:f>SUMIFS('Vendas'!$G$6:$G$437,'Vendas'!$A$6:$A$437,A31)</x:f>
        <x:v>51914.729999999996</x:v>
      </x:c>
      <x:c r="U31" s="17" t="n">
        <x:f>SUMIFS('Vendas'!$H$6:$H$437,'Vendas'!$A$6:$A$437,A31)</x:f>
        <x:v>30036.4</x:v>
      </x:c>
      <x:c r="V31" s="16" t="n">
        <x:f>SUMIFS('Vendas'!$P$6:$P$437,'Vendas'!$A$6:$A$437,A31)</x:f>
        <x:v>35</x:v>
      </x:c>
    </x:row>
    <x:row r="32" ht="24" customHeight="1">
      <x:c r="A32" s="14" t="n">
        <x:v>45717</x:v>
      </x:c>
      <x:c r="B32" s="17" t="n">
        <x:f>SUMIFS('Vendas'!$F$6:$F$437,'Vendas'!$A$6:$A$437,A32)</x:f>
        <x:v>1454745.24</x:v>
      </x:c>
      <x:c r="C32" s="16" t="n">
        <x:f>SUMIFS('Vendas'!$E$6:$E$437,'Vendas'!$A$6:$A$437,A32)</x:f>
        <x:v>1251</x:v>
      </x:c>
      <x:c r="D32" s="17" t="n">
        <x:f>SUMIFS('Vendas'!$I$6:$I$437,'Vendas'!$A$6:$A$437,A32)</x:f>
        <x:v>1363904.5</x:v>
      </x:c>
      <x:c r="E32" s="17" t="n">
        <x:f>SUMIFS('Vendas'!$J$6:$J$437,'Vendas'!$A$6:$A$437,A32)</x:f>
        <x:v>818087.8899999999</x:v>
      </x:c>
      <x:c r="F32" s="17" t="n">
        <x:f>SUMIFS('Vendas'!$X$6:$X$437,'Vendas'!$A$6:$A$437,A32)</x:f>
        <x:v>382424.06999999995</x:v>
      </x:c>
      <x:c r="G32" s="22" t="n">
        <x:f>IF(D32=0,"",(D32-E32)/D32)</x:f>
        <x:v>0.4001868239308545</x:v>
      </x:c>
      <x:c r="H32" s="22" t="n">
        <x:f>IF(D32=0,"",F32/D32)</x:f>
        <x:v>0.2803891841400919</x:v>
      </x:c>
      <x:c r="I32" s="17" t="n">
        <x:f>IF(C32=0,"",B32/C32)</x:f>
        <x:v>1162.8658992805756</x:v>
      </x:c>
      <x:c r="J32" s="17" t="n">
        <x:f>IF(N32=0,"",M32/N32)</x:f>
        <x:v>120.25144957983194</x:v>
      </x:c>
      <x:c r="K32" s="22" t="n">
        <x:f>IF(C32=0,"",O32/C32)</x:f>
        <x:v>0.14468425259792167</x:v>
      </x:c>
      <x:c r="L32" s="23" t="n">
        <x:f>IF(P32=0,"",100*(Q32-R32)/P32)</x:f>
        <x:v>37.25</x:v>
      </x:c>
      <x:c r="M32" s="17" t="n">
        <x:f>SUMIFS('Vendas'!$M$6:$M$437,'Vendas'!$A$6:$A$437,A32)</x:f>
        <x:v>57239.69</x:v>
      </x:c>
      <x:c r="N32" s="16" t="n">
        <x:f>SUMIFS('Vendas'!$N$6:$N$437,'Vendas'!$A$6:$A$437,A32)</x:f>
        <x:v>476</x:v>
      </x:c>
      <x:c r="O32" s="16" t="n">
        <x:f>SUMIFS('Vendas'!$O$6:$O$437,'Vendas'!$A$6:$A$437,A32)</x:f>
        <x:v>181</x:v>
      </x:c>
      <x:c r="P32" s="16" t="n">
        <x:f>SUMIFS('Vendas'!$Q$6:$Q$437,'Vendas'!$A$6:$A$437,A32)</x:f>
        <x:v>400</x:v>
      </x:c>
      <x:c r="Q32" s="16" t="n">
        <x:f>SUMIFS('Vendas'!$R$6:$R$437,'Vendas'!$A$6:$A$437,A32)</x:f>
        <x:v>233</x:v>
      </x:c>
      <x:c r="R32" s="16" t="n">
        <x:f>SUMIFS('Vendas'!$S$6:$S$437,'Vendas'!$A$6:$A$437,A32)</x:f>
        <x:v>84</x:v>
      </x:c>
      <x:c r="S32" s="17" t="n">
        <x:f>SUMIFS('Vendas'!$K$6:$K$437,'Vendas'!$A$6:$A$437,A32)</x:f>
        <x:v>73419.15</x:v>
      </x:c>
      <x:c r="T32" s="17" t="n">
        <x:f>SUMIFS('Vendas'!$G$6:$G$437,'Vendas'!$A$6:$A$437,A32)</x:f>
        <x:v>57381.62000000001</x:v>
      </x:c>
      <x:c r="U32" s="17" t="n">
        <x:f>SUMIFS('Vendas'!$H$6:$H$437,'Vendas'!$A$6:$A$437,A32)</x:f>
        <x:v>33459.12</x:v>
      </x:c>
      <x:c r="V32" s="16" t="n">
        <x:f>SUMIFS('Vendas'!$P$6:$P$437,'Vendas'!$A$6:$A$437,A32)</x:f>
        <x:v>38</x:v>
      </x:c>
    </x:row>
    <x:row r="33" ht="24" customHeight="1">
      <x:c r="A33" s="14" t="n">
        <x:v>45748</x:v>
      </x:c>
      <x:c r="B33" s="17" t="n">
        <x:f>SUMIFS('Vendas'!$F$6:$F$437,'Vendas'!$A$6:$A$437,A33)</x:f>
        <x:v>1479144.6600000001</x:v>
      </x:c>
      <x:c r="C33" s="16" t="n">
        <x:f>SUMIFS('Vendas'!$E$6:$E$437,'Vendas'!$A$6:$A$437,A33)</x:f>
        <x:v>1273</x:v>
      </x:c>
      <x:c r="D33" s="17" t="n">
        <x:f>SUMIFS('Vendas'!$I$6:$I$437,'Vendas'!$A$6:$A$437,A33)</x:f>
        <x:v>1385218.9699999997</x:v>
      </x:c>
      <x:c r="E33" s="17" t="n">
        <x:f>SUMIFS('Vendas'!$J$6:$J$437,'Vendas'!$A$6:$A$437,A33)</x:f>
        <x:v>845723.22</x:v>
      </x:c>
      <x:c r="F33" s="17" t="n">
        <x:f>SUMIFS('Vendas'!$X$6:$X$437,'Vendas'!$A$6:$A$437,A33)</x:f>
        <x:v>370827.33999999997</x:v>
      </x:c>
      <x:c r="G33" s="22" t="n">
        <x:f>IF(D33=0,"",(D33-E33)/D33)</x:f>
        <x:v>0.38946604232542376</x:v>
      </x:c>
      <x:c r="H33" s="22" t="n">
        <x:f>IF(D33=0,"",F33/D33)</x:f>
        <x:v>0.2677030476993829</x:v>
      </x:c>
      <x:c r="I33" s="17" t="n">
        <x:f>IF(C33=0,"",B33/C33)</x:f>
        <x:v>1161.9361036920661</x:v>
      </x:c>
      <x:c r="J33" s="17" t="n">
        <x:f>IF(N33=0,"",M33/N33)</x:f>
        <x:v>121.12989754098359</x:v>
      </x:c>
      <x:c r="K33" s="22" t="n">
        <x:f>IF(C33=0,"",O33/C33)</x:f>
        <x:v>0.14689709347996857</x:v>
      </x:c>
      <x:c r="L33" s="23" t="n">
        <x:f>IF(P33=0,"",100*(Q33-R33)/P33)</x:f>
        <x:v>36.85503685503686</x:v>
      </x:c>
      <x:c r="M33" s="17" t="n">
        <x:f>SUMIFS('Vendas'!$M$6:$M$437,'Vendas'!$A$6:$A$437,A33)</x:f>
        <x:v>59111.38999999999</x:v>
      </x:c>
      <x:c r="N33" s="16" t="n">
        <x:f>SUMIFS('Vendas'!$N$6:$N$437,'Vendas'!$A$6:$A$437,A33)</x:f>
        <x:v>488</x:v>
      </x:c>
      <x:c r="O33" s="16" t="n">
        <x:f>SUMIFS('Vendas'!$O$6:$O$437,'Vendas'!$A$6:$A$437,A33)</x:f>
        <x:v>187</x:v>
      </x:c>
      <x:c r="P33" s="16" t="n">
        <x:f>SUMIFS('Vendas'!$Q$6:$Q$437,'Vendas'!$A$6:$A$437,A33)</x:f>
        <x:v>407</x:v>
      </x:c>
      <x:c r="Q33" s="16" t="n">
        <x:f>SUMIFS('Vendas'!$R$6:$R$437,'Vendas'!$A$6:$A$437,A33)</x:f>
        <x:v>235</x:v>
      </x:c>
      <x:c r="R33" s="16" t="n">
        <x:f>SUMIFS('Vendas'!$S$6:$S$437,'Vendas'!$A$6:$A$437,A33)</x:f>
        <x:v>85</x:v>
      </x:c>
      <x:c r="S33" s="17" t="n">
        <x:f>SUMIFS('Vendas'!$K$6:$K$437,'Vendas'!$A$6:$A$437,A33)</x:f>
        <x:v>76311.75000000001</x:v>
      </x:c>
      <x:c r="T33" s="17" t="n">
        <x:f>SUMIFS('Vendas'!$G$6:$G$437,'Vendas'!$A$6:$A$437,A33)</x:f>
        <x:v>59165.78</x:v>
      </x:c>
      <x:c r="U33" s="17" t="n">
        <x:f>SUMIFS('Vendas'!$H$6:$H$437,'Vendas'!$A$6:$A$437,A33)</x:f>
        <x:v>34759.91</x:v>
      </x:c>
      <x:c r="V33" s="16" t="n">
        <x:f>SUMIFS('Vendas'!$P$6:$P$437,'Vendas'!$A$6:$A$437,A33)</x:f>
        <x:v>41</x:v>
      </x:c>
    </x:row>
    <x:row r="34" ht="24" customHeight="1">
      <x:c r="A34" s="14" t="n">
        <x:v>45778</x:v>
      </x:c>
      <x:c r="B34" s="17" t="n">
        <x:f>SUMIFS('Vendas'!$F$6:$F$437,'Vendas'!$A$6:$A$437,A34)</x:f>
        <x:v>1496412.98</x:v>
      </x:c>
      <x:c r="C34" s="16" t="n">
        <x:f>SUMIFS('Vendas'!$E$6:$E$437,'Vendas'!$A$6:$A$437,A34)</x:f>
        <x:v>1288</x:v>
      </x:c>
      <x:c r="D34" s="17" t="n">
        <x:f>SUMIFS('Vendas'!$I$6:$I$437,'Vendas'!$A$6:$A$437,A34)</x:f>
        <x:v>1399811.23</x:v>
      </x:c>
      <x:c r="E34" s="17" t="n">
        <x:f>SUMIFS('Vendas'!$J$6:$J$437,'Vendas'!$A$6:$A$437,A34)</x:f>
        <x:v>853969.97</x:v>
      </x:c>
      <x:c r="F34" s="17" t="n">
        <x:f>SUMIFS('Vendas'!$X$6:$X$437,'Vendas'!$A$6:$A$437,A34)</x:f>
        <x:v>373570.57</x:v>
      </x:c>
      <x:c r="G34" s="22" t="n">
        <x:f>IF(D34=0,"",(D34-E34)/D34)</x:f>
        <x:v>0.38993919201519767</x:v>
      </x:c>
      <x:c r="H34" s="22" t="n">
        <x:f>IF(D34=0,"",F34/D34)</x:f>
        <x:v>0.2668721053195151</x:v>
      </x:c>
      <x:c r="I34" s="17" t="n">
        <x:f>IF(C34=0,"",B34/C34)</x:f>
        <x:v>1161.8113198757765</x:v>
      </x:c>
      <x:c r="J34" s="17" t="n">
        <x:f>IF(N34=0,"",M34/N34)</x:f>
        <x:v>121.54890688259108</x:v>
      </x:c>
      <x:c r="K34" s="22" t="n">
        <x:f>IF(C34=0,"",O34/C34)</x:f>
        <x:v>0.15217391304347827</x:v>
      </x:c>
      <x:c r="L34" s="23" t="n">
        <x:f>IF(P34=0,"",100*(Q34-R34)/P34)</x:f>
        <x:v>35.922330097087375</x:v>
      </x:c>
      <x:c r="M34" s="17" t="n">
        <x:f>SUMIFS('Vendas'!$M$6:$M$437,'Vendas'!$A$6:$A$437,A34)</x:f>
        <x:v>60045.159999999996</x:v>
      </x:c>
      <x:c r="N34" s="16" t="n">
        <x:f>SUMIFS('Vendas'!$N$6:$N$437,'Vendas'!$A$6:$A$437,A34)</x:f>
        <x:v>494</x:v>
      </x:c>
      <x:c r="O34" s="16" t="n">
        <x:f>SUMIFS('Vendas'!$O$6:$O$437,'Vendas'!$A$6:$A$437,A34)</x:f>
        <x:v>196</x:v>
      </x:c>
      <x:c r="P34" s="16" t="n">
        <x:f>SUMIFS('Vendas'!$Q$6:$Q$437,'Vendas'!$A$6:$A$437,A34)</x:f>
        <x:v>412</x:v>
      </x:c>
      <x:c r="Q34" s="16" t="n">
        <x:f>SUMIFS('Vendas'!$R$6:$R$437,'Vendas'!$A$6:$A$437,A34)</x:f>
        <x:v>235</x:v>
      </x:c>
      <x:c r="R34" s="16" t="n">
        <x:f>SUMIFS('Vendas'!$S$6:$S$437,'Vendas'!$A$6:$A$437,A34)</x:f>
        <x:v>87</x:v>
      </x:c>
      <x:c r="S34" s="17" t="n">
        <x:f>SUMIFS('Vendas'!$K$6:$K$437,'Vendas'!$A$6:$A$437,A34)</x:f>
        <x:v>78630.07</x:v>
      </x:c>
      <x:c r="T34" s="17" t="n">
        <x:f>SUMIFS('Vendas'!$G$6:$G$437,'Vendas'!$A$6:$A$437,A34)</x:f>
        <x:v>60687.85999999999</x:v>
      </x:c>
      <x:c r="U34" s="17" t="n">
        <x:f>SUMIFS('Vendas'!$H$6:$H$437,'Vendas'!$A$6:$A$437,A34)</x:f>
        <x:v>35913.89</x:v>
      </x:c>
      <x:c r="V34" s="16" t="n">
        <x:f>SUMIFS('Vendas'!$P$6:$P$437,'Vendas'!$A$6:$A$437,A34)</x:f>
        <x:v>42</x:v>
      </x:c>
    </x:row>
    <x:row r="35" ht="24" customHeight="1">
      <x:c r="A35" s="14" t="n">
        <x:v>45809</x:v>
      </x:c>
      <x:c r="B35" s="17" t="n">
        <x:f>SUMIFS('Vendas'!$F$6:$F$437,'Vendas'!$A$6:$A$437,A35)</x:f>
        <x:v>1530137.7400000002</x:v>
      </x:c>
      <x:c r="C35" s="16" t="n">
        <x:f>SUMIFS('Vendas'!$E$6:$E$437,'Vendas'!$A$6:$A$437,A35)</x:f>
        <x:v>1317</x:v>
      </x:c>
      <x:c r="D35" s="17" t="n">
        <x:f>SUMIFS('Vendas'!$I$6:$I$437,'Vendas'!$A$6:$A$437,A35)</x:f>
        <x:v>1429743.7</x:v>
      </x:c>
      <x:c r="E35" s="17" t="n">
        <x:f>SUMIFS('Vendas'!$J$6:$J$437,'Vendas'!$A$6:$A$437,A35)</x:f>
        <x:v>883070.4400000001</x:v>
      </x:c>
      <x:c r="F35" s="17" t="n">
        <x:f>SUMIFS('Vendas'!$X$6:$X$437,'Vendas'!$A$6:$A$437,A35)</x:f>
        <x:v>370692.97</x:v>
      </x:c>
      <x:c r="G35" s="22" t="n">
        <x:f>IF(D35=0,"",(D35-E35)/D35)</x:f>
        <x:v>0.38235752324000444</x:v>
      </x:c>
      <x:c r="H35" s="22" t="n">
        <x:f>IF(D35=0,"",F35/D35)</x:f>
        <x:v>0.25927232272469536</x:v>
      </x:c>
      <x:c r="I35" s="17" t="n">
        <x:f>IF(C35=0,"",B35/C35)</x:f>
        <x:v>1161.8357934700077</x:v>
      </x:c>
      <x:c r="J35" s="17" t="n">
        <x:f>IF(N35=0,"",M35/N35)</x:f>
        <x:v>119.64926587301588</x:v>
      </x:c>
      <x:c r="K35" s="22" t="n">
        <x:f>IF(C35=0,"",O35/C35)</x:f>
        <x:v>0.1556567957479119</x:v>
      </x:c>
      <x:c r="L35" s="23" t="n">
        <x:f>IF(P35=0,"",100*(Q35-R35)/P35)</x:f>
        <x:v>34.834123222748815</x:v>
      </x:c>
      <x:c r="M35" s="17" t="n">
        <x:f>SUMIFS('Vendas'!$M$6:$M$437,'Vendas'!$A$6:$A$437,A35)</x:f>
        <x:v>60303.23</x:v>
      </x:c>
      <x:c r="N35" s="16" t="n">
        <x:f>SUMIFS('Vendas'!$N$6:$N$437,'Vendas'!$A$6:$A$437,A35)</x:f>
        <x:v>504</x:v>
      </x:c>
      <x:c r="O35" s="16" t="n">
        <x:f>SUMIFS('Vendas'!$O$6:$O$437,'Vendas'!$A$6:$A$437,A35)</x:f>
        <x:v>205</x:v>
      </x:c>
      <x:c r="P35" s="16" t="n">
        <x:f>SUMIFS('Vendas'!$Q$6:$Q$437,'Vendas'!$A$6:$A$437,A35)</x:f>
        <x:v>422</x:v>
      </x:c>
      <x:c r="Q35" s="16" t="n">
        <x:f>SUMIFS('Vendas'!$R$6:$R$437,'Vendas'!$A$6:$A$437,A35)</x:f>
        <x:v>239</x:v>
      </x:c>
      <x:c r="R35" s="16" t="n">
        <x:f>SUMIFS('Vendas'!$S$6:$S$437,'Vendas'!$A$6:$A$437,A35)</x:f>
        <x:v>92</x:v>
      </x:c>
      <x:c r="S35" s="17" t="n">
        <x:f>SUMIFS('Vendas'!$K$6:$K$437,'Vendas'!$A$6:$A$437,A35)</x:f>
        <x:v>81363.22</x:v>
      </x:c>
      <x:c r="T35" s="17" t="n">
        <x:f>SUMIFS('Vendas'!$G$6:$G$437,'Vendas'!$A$6:$A$437,A35)</x:f>
        <x:v>62905.670000000006</x:v>
      </x:c>
      <x:c r="U35" s="17" t="n">
        <x:f>SUMIFS('Vendas'!$H$6:$H$437,'Vendas'!$A$6:$A$437,A35)</x:f>
        <x:v>37488.37</x:v>
      </x:c>
      <x:c r="V35" s="16" t="n">
        <x:f>SUMIFS('Vendas'!$P$6:$P$437,'Vendas'!$A$6:$A$437,A35)</x:f>
        <x:v>44</x:v>
      </x:c>
    </x:row>
    <x:row r="36" ht="24" customHeight="1">
      <x:c r="A36" s="14" t="n">
        <x:v>45839</x:v>
      </x:c>
      <x:c r="B36" s="17" t="n">
        <x:f>SUMIFS('Vendas'!$F$6:$F$437,'Vendas'!$A$6:$A$437,A36)</x:f>
        <x:v>1499942.04</x:v>
      </x:c>
      <x:c r="C36" s="16" t="n">
        <x:f>SUMIFS('Vendas'!$E$6:$E$437,'Vendas'!$A$6:$A$437,A36)</x:f>
        <x:v>1290</x:v>
      </x:c>
      <x:c r="D36" s="17" t="n">
        <x:f>SUMIFS('Vendas'!$I$6:$I$437,'Vendas'!$A$6:$A$437,A36)</x:f>
        <x:v>1399945.9100000001</x:v>
      </x:c>
      <x:c r="E36" s="17" t="n">
        <x:f>SUMIFS('Vendas'!$J$6:$J$437,'Vendas'!$A$6:$A$437,A36)</x:f>
        <x:v>869973.3600000001</x:v>
      </x:c>
      <x:c r="F36" s="17" t="n">
        <x:f>SUMIFS('Vendas'!$X$6:$X$437,'Vendas'!$A$6:$A$437,A36)</x:f>
        <x:v>357893.11</x:v>
      </x:c>
      <x:c r="G36" s="22" t="n">
        <x:f>IF(D36=0,"",(D36-E36)/D36)</x:f>
        <x:v>0.3785664476136796</x:v>
      </x:c>
      <x:c r="H36" s="22" t="n">
        <x:f>IF(D36=0,"",F36/D36)</x:f>
        <x:v>0.2556478128501407</x:v>
      </x:c>
      <x:c r="I36" s="17" t="n">
        <x:f>IF(C36=0,"",B36/C36)</x:f>
        <x:v>1162.7457674418606</x:v>
      </x:c>
      <x:c r="J36" s="17" t="n">
        <x:f>IF(N36=0,"",M36/N36)</x:f>
        <x:v>118.55118852459019</x:v>
      </x:c>
      <x:c r="K36" s="22" t="n">
        <x:f>IF(C36=0,"",O36/C36)</x:f>
        <x:v>0.16046511627906976</x:v>
      </x:c>
      <x:c r="L36" s="23" t="n">
        <x:f>IF(P36=0,"",100*(Q36-R36)/P36)</x:f>
        <x:v>33.737864077669904</x:v>
      </x:c>
      <x:c r="M36" s="17" t="n">
        <x:f>SUMIFS('Vendas'!$M$6:$M$437,'Vendas'!$A$6:$A$437,A36)</x:f>
        <x:v>57852.98000000001</x:v>
      </x:c>
      <x:c r="N36" s="16" t="n">
        <x:f>SUMIFS('Vendas'!$N$6:$N$437,'Vendas'!$A$6:$A$437,A36)</x:f>
        <x:v>488</x:v>
      </x:c>
      <x:c r="O36" s="16" t="n">
        <x:f>SUMIFS('Vendas'!$O$6:$O$437,'Vendas'!$A$6:$A$437,A36)</x:f>
        <x:v>207</x:v>
      </x:c>
      <x:c r="P36" s="16" t="n">
        <x:f>SUMIFS('Vendas'!$Q$6:$Q$437,'Vendas'!$A$6:$A$437,A36)</x:f>
        <x:v>412</x:v>
      </x:c>
      <x:c r="Q36" s="16" t="n">
        <x:f>SUMIFS('Vendas'!$R$6:$R$437,'Vendas'!$A$6:$A$437,A36)</x:f>
        <x:v>230</x:v>
      </x:c>
      <x:c r="R36" s="16" t="n">
        <x:f>SUMIFS('Vendas'!$S$6:$S$437,'Vendas'!$A$6:$A$437,A36)</x:f>
        <x:v>91</x:v>
      </x:c>
      <x:c r="S36" s="17" t="n">
        <x:f>SUMIFS('Vendas'!$K$6:$K$437,'Vendas'!$A$6:$A$437,A36)</x:f>
        <x:v>80627.77000000002</x:v>
      </x:c>
      <x:c r="T36" s="17" t="n">
        <x:f>SUMIFS('Vendas'!$G$6:$G$437,'Vendas'!$A$6:$A$437,A36)</x:f>
        <x:v>62497.579999999994</x:v>
      </x:c>
      <x:c r="U36" s="17" t="n">
        <x:f>SUMIFS('Vendas'!$H$6:$H$437,'Vendas'!$A$6:$A$437,A36)</x:f>
        <x:v>37498.55</x:v>
      </x:c>
      <x:c r="V36" s="16" t="n">
        <x:f>SUMIFS('Vendas'!$P$6:$P$437,'Vendas'!$A$6:$A$437,A36)</x:f>
        <x:v>43</x:v>
      </x:c>
    </x:row>
    <x:row r="37" ht="24" customHeight="1">
      <x:c r="A37" s="14" t="n">
        <x:v>45870</x:v>
      </x:c>
      <x:c r="B37" s="17" t="n">
        <x:f>SUMIFS('Vendas'!$F$6:$F$437,'Vendas'!$A$6:$A$437,A37)</x:f>
        <x:v>1556954.68</x:v>
      </x:c>
      <x:c r="C37" s="16" t="n">
        <x:f>SUMIFS('Vendas'!$E$6:$E$437,'Vendas'!$A$6:$A$437,A37)</x:f>
        <x:v>1340</x:v>
      </x:c>
      <x:c r="D37" s="17" t="n">
        <x:f>SUMIFS('Vendas'!$I$6:$I$437,'Vendas'!$A$6:$A$437,A37)</x:f>
        <x:v>1451514.2399999998</x:v>
      </x:c>
      <x:c r="E37" s="17" t="n">
        <x:f>SUMIFS('Vendas'!$J$6:$J$437,'Vendas'!$A$6:$A$437,A37)</x:f>
        <x:v>902035.5899999999</x:v>
      </x:c>
      <x:c r="F37" s="17" t="n">
        <x:f>SUMIFS('Vendas'!$X$6:$X$437,'Vendas'!$A$6:$A$437,A37)</x:f>
        <x:v>366021.58999999997</x:v>
      </x:c>
      <x:c r="G37" s="22" t="n">
        <x:f>IF(D37=0,"",(D37-E37)/D37)</x:f>
        <x:v>0.3785554663246018</x:v>
      </x:c>
      <x:c r="H37" s="22" t="n">
        <x:f>IF(D37=0,"",F37/D37)</x:f>
        <x:v>0.25216534561865545</x:v>
      </x:c>
      <x:c r="I37" s="17" t="n">
        <x:f>IF(C37=0,"",B37/C37)</x:f>
        <x:v>1161.9064776119403</x:v>
      </x:c>
      <x:c r="J37" s="17" t="n">
        <x:f>IF(N37=0,"",M37/N37)</x:f>
        <x:v>120.86028957528958</x:v>
      </x:c>
      <x:c r="K37" s="22" t="n">
        <x:f>IF(C37=0,"",O37/C37)</x:f>
        <x:v>0.16343283582089552</x:v>
      </x:c>
      <x:c r="L37" s="23" t="n">
        <x:f>IF(P37=0,"",100*(Q37-R37)/P37)</x:f>
        <x:v>33.41121495327103</x:v>
      </x:c>
      <x:c r="M37" s="17" t="n">
        <x:f>SUMIFS('Vendas'!$M$6:$M$437,'Vendas'!$A$6:$A$437,A37)</x:f>
        <x:v>62605.630000000005</x:v>
      </x:c>
      <x:c r="N37" s="16" t="n">
        <x:f>SUMIFS('Vendas'!$N$6:$N$437,'Vendas'!$A$6:$A$437,A37)</x:f>
        <x:v>518</x:v>
      </x:c>
      <x:c r="O37" s="16" t="n">
        <x:f>SUMIFS('Vendas'!$O$6:$O$437,'Vendas'!$A$6:$A$437,A37)</x:f>
        <x:v>219</x:v>
      </x:c>
      <x:c r="P37" s="16" t="n">
        <x:f>SUMIFS('Vendas'!$Q$6:$Q$437,'Vendas'!$A$6:$A$437,A37)</x:f>
        <x:v>428</x:v>
      </x:c>
      <x:c r="Q37" s="16" t="n">
        <x:f>SUMIFS('Vendas'!$R$6:$R$437,'Vendas'!$A$6:$A$437,A37)</x:f>
        <x:v>238</x:v>
      </x:c>
      <x:c r="R37" s="16" t="n">
        <x:f>SUMIFS('Vendas'!$S$6:$S$437,'Vendas'!$A$6:$A$437,A37)</x:f>
        <x:v>95</x:v>
      </x:c>
      <x:c r="S37" s="17" t="n">
        <x:f>SUMIFS('Vendas'!$K$6:$K$437,'Vendas'!$A$6:$A$437,A37)</x:f>
        <x:v>86015.09999999999</x:v>
      </x:c>
      <x:c r="T37" s="17" t="n">
        <x:f>SUMIFS('Vendas'!$G$6:$G$437,'Vendas'!$A$6:$A$437,A37)</x:f>
        <x:v>65738.08000000002</x:v>
      </x:c>
      <x:c r="U37" s="17" t="n">
        <x:f>SUMIFS('Vendas'!$H$6:$H$437,'Vendas'!$A$6:$A$437,A37)</x:f>
        <x:v>39702.36</x:v>
      </x:c>
      <x:c r="V37" s="16" t="n">
        <x:f>SUMIFS('Vendas'!$P$6:$P$437,'Vendas'!$A$6:$A$437,A37)</x:f>
        <x:v>45</x:v>
      </x:c>
    </x:row>
    <x:row r="38" ht="24" customHeight="1">
      <x:c r="A38" s="14" t="n">
        <x:v>45901</x:v>
      </x:c>
      <x:c r="B38" s="17" t="n">
        <x:f>SUMIFS('Vendas'!$F$6:$F$437,'Vendas'!$A$6:$A$437,A38)</x:f>
        <x:v>1524359.86</x:v>
      </x:c>
      <x:c r="C38" s="16" t="n">
        <x:f>SUMIFS('Vendas'!$E$6:$E$437,'Vendas'!$A$6:$A$437,A38)</x:f>
        <x:v>1312</x:v>
      </x:c>
      <x:c r="D38" s="17" t="n">
        <x:f>SUMIFS('Vendas'!$I$6:$I$437,'Vendas'!$A$6:$A$437,A38)</x:f>
        <x:v>1419517.7800000003</x:v>
      </x:c>
      <x:c r="E38" s="17" t="n">
        <x:f>SUMIFS('Vendas'!$J$6:$J$437,'Vendas'!$A$6:$A$437,A38)</x:f>
        <x:v>894587.9900000001</x:v>
      </x:c>
      <x:c r="F38" s="17" t="n">
        <x:f>SUMIFS('Vendas'!$X$6:$X$437,'Vendas'!$A$6:$A$437,A38)</x:f>
        <x:v>348347.91</x:v>
      </x:c>
      <x:c r="G38" s="22" t="n">
        <x:f>IF(D38=0,"",(D38-E38)/D38)</x:f>
        <x:v>0.36979444526577193</x:v>
      </x:c>
      <x:c r="H38" s="22" t="n">
        <x:f>IF(D38=0,"",F38/D38)</x:f>
        <x:v>0.24539876492424062</x:v>
      </x:c>
      <x:c r="I38" s="17" t="n">
        <x:f>IF(C38=0,"",B38/C38)</x:f>
        <x:v>1161.859649390244</x:v>
      </x:c>
      <x:c r="J38" s="17" t="n">
        <x:f>IF(N38=0,"",M38/N38)</x:f>
        <x:v>117.88906693711965</x:v>
      </x:c>
      <x:c r="K38" s="22" t="n">
        <x:f>IF(C38=0,"",O38/C38)</x:f>
        <x:v>0.1836890243902439</x:v>
      </x:c>
      <x:c r="L38" s="23" t="n">
        <x:f>IF(P38=0,"",100*(Q38-R38)/P38)</x:f>
        <x:v>32.142857142857146</x:v>
      </x:c>
      <x:c r="M38" s="17" t="n">
        <x:f>SUMIFS('Vendas'!$M$6:$M$437,'Vendas'!$A$6:$A$437,A38)</x:f>
        <x:v>58119.30999999999</x:v>
      </x:c>
      <x:c r="N38" s="16" t="n">
        <x:f>SUMIFS('Vendas'!$N$6:$N$437,'Vendas'!$A$6:$A$437,A38)</x:f>
        <x:v>493</x:v>
      </x:c>
      <x:c r="O38" s="16" t="n">
        <x:f>SUMIFS('Vendas'!$O$6:$O$437,'Vendas'!$A$6:$A$437,A38)</x:f>
        <x:v>241</x:v>
      </x:c>
      <x:c r="P38" s="16" t="n">
        <x:f>SUMIFS('Vendas'!$Q$6:$Q$437,'Vendas'!$A$6:$A$437,A38)</x:f>
        <x:v>420</x:v>
      </x:c>
      <x:c r="Q38" s="16" t="n">
        <x:f>SUMIFS('Vendas'!$R$6:$R$437,'Vendas'!$A$6:$A$437,A38)</x:f>
        <x:v>231</x:v>
      </x:c>
      <x:c r="R38" s="16" t="n">
        <x:f>SUMIFS('Vendas'!$S$6:$S$437,'Vendas'!$A$6:$A$437,A38)</x:f>
        <x:v>96</x:v>
      </x:c>
      <x:c r="S38" s="17" t="n">
        <x:f>SUMIFS('Vendas'!$K$6:$K$437,'Vendas'!$A$6:$A$437,A38)</x:f>
        <x:v>84394.14</x:v>
      </x:c>
      <x:c r="T38" s="17" t="n">
        <x:f>SUMIFS('Vendas'!$G$6:$G$437,'Vendas'!$A$6:$A$437,A38)</x:f>
        <x:v>65208.729999999996</x:v>
      </x:c>
      <x:c r="U38" s="17" t="n">
        <x:f>SUMIFS('Vendas'!$H$6:$H$437,'Vendas'!$A$6:$A$437,A38)</x:f>
        <x:v>39633.350000000006</x:v>
      </x:c>
      <x:c r="V38" s="16" t="n">
        <x:f>SUMIFS('Vendas'!$P$6:$P$437,'Vendas'!$A$6:$A$437,A38)</x:f>
        <x:v>44</x:v>
      </x:c>
    </x:row>
    <x:row r="39" ht="24" customHeight="1">
      <x:c r="A39" s="14" t="n">
        <x:v>45931</x:v>
      </x:c>
      <x:c r="B39" s="17" t="n">
        <x:f>SUMIFS('Vendas'!$F$6:$F$437,'Vendas'!$A$6:$A$437,A39)</x:f>
        <x:v>1566522.87</x:v>
      </x:c>
      <x:c r="C39" s="16" t="n">
        <x:f>SUMIFS('Vendas'!$E$6:$E$437,'Vendas'!$A$6:$A$437,A39)</x:f>
        <x:v>1349</x:v>
      </x:c>
      <x:c r="D39" s="17" t="n">
        <x:f>SUMIFS('Vendas'!$I$6:$I$437,'Vendas'!$A$6:$A$437,A39)</x:f>
        <x:v>1457127.3699999999</x:v>
      </x:c>
      <x:c r="E39" s="17" t="n">
        <x:f>SUMIFS('Vendas'!$J$6:$J$437,'Vendas'!$A$6:$A$437,A39)</x:f>
        <x:v>923022.1600000001</x:v>
      </x:c>
      <x:c r="F39" s="17" t="n">
        <x:f>SUMIFS('Vendas'!$X$6:$X$437,'Vendas'!$A$6:$A$437,A39)</x:f>
        <x:v>350774.39999999997</x:v>
      </x:c>
      <x:c r="G39" s="22" t="n">
        <x:f>IF(D39=0,"",(D39-E39)/D39)</x:f>
        <x:v>0.366546686992778</x:v>
      </x:c>
      <x:c r="H39" s="22" t="n">
        <x:f>IF(D39=0,"",F39/D39)</x:f>
        <x:v>0.24073008799498427</x:v>
      </x:c>
      <x:c r="I39" s="17" t="n">
        <x:f>IF(C39=0,"",B39/C39)</x:f>
        <x:v>1161.2474944403264</x:v>
      </x:c>
      <x:c r="J39" s="17" t="n">
        <x:f>IF(N39=0,"",M39/N39)</x:f>
        <x:v>117.62696673189826</x:v>
      </x:c>
      <x:c r="K39" s="22" t="n">
        <x:f>IF(C39=0,"",O39/C39)</x:f>
        <x:v>0.18977020014825796</x:v>
      </x:c>
      <x:c r="L39" s="23" t="n">
        <x:f>IF(P39=0,"",100*(Q39-R39)/P39)</x:f>
        <x:v>31.25</x:v>
      </x:c>
      <x:c r="M39" s="17" t="n">
        <x:f>SUMIFS('Vendas'!$M$6:$M$437,'Vendas'!$A$6:$A$437,A39)</x:f>
        <x:v>60107.38000000001</x:v>
      </x:c>
      <x:c r="N39" s="16" t="n">
        <x:f>SUMIFS('Vendas'!$N$6:$N$437,'Vendas'!$A$6:$A$437,A39)</x:f>
        <x:v>511</x:v>
      </x:c>
      <x:c r="O39" s="16" t="n">
        <x:f>SUMIFS('Vendas'!$O$6:$O$437,'Vendas'!$A$6:$A$437,A39)</x:f>
        <x:v>256</x:v>
      </x:c>
      <x:c r="P39" s="16" t="n">
        <x:f>SUMIFS('Vendas'!$Q$6:$Q$437,'Vendas'!$A$6:$A$437,A39)</x:f>
        <x:v>432</x:v>
      </x:c>
      <x:c r="Q39" s="16" t="n">
        <x:f>SUMIFS('Vendas'!$R$6:$R$437,'Vendas'!$A$6:$A$437,A39)</x:f>
        <x:v>234</x:v>
      </x:c>
      <x:c r="R39" s="16" t="n">
        <x:f>SUMIFS('Vendas'!$S$6:$S$437,'Vendas'!$A$6:$A$437,A39)</x:f>
        <x:v>99</x:v>
      </x:c>
      <x:c r="S39" s="17" t="n">
        <x:f>SUMIFS('Vendas'!$K$6:$K$437,'Vendas'!$A$6:$A$437,A39)</x:f>
        <x:v>88252.38</x:v>
      </x:c>
      <x:c r="T39" s="17" t="n">
        <x:f>SUMIFS('Vendas'!$G$6:$G$437,'Vendas'!$A$6:$A$437,A39)</x:f>
        <x:v>67882.64</x:v>
      </x:c>
      <x:c r="U39" s="17" t="n">
        <x:f>SUMIFS('Vendas'!$H$6:$H$437,'Vendas'!$A$6:$A$437,A39)</x:f>
        <x:v>41512.85999999999</x:v>
      </x:c>
      <x:c r="V39" s="16" t="n">
        <x:f>SUMIFS('Vendas'!$P$6:$P$437,'Vendas'!$A$6:$A$437,A39)</x:f>
        <x:v>48</x:v>
      </x:c>
    </x:row>
    <x:row r="40" ht="24" customHeight="1">
      <x:c r="A40" s="14" t="n">
        <x:v>45962</x:v>
      </x:c>
      <x:c r="B40" s="17" t="n">
        <x:f>SUMIFS('Vendas'!$F$6:$F$437,'Vendas'!$A$6:$A$437,A40)</x:f>
        <x:v>2074240.4899999998</x:v>
      </x:c>
      <x:c r="C40" s="16" t="n">
        <x:f>SUMIFS('Vendas'!$E$6:$E$437,'Vendas'!$A$6:$A$437,A40)</x:f>
        <x:v>1785</x:v>
      </x:c>
      <x:c r="D40" s="17" t="n">
        <x:f>SUMIFS('Vendas'!$I$6:$I$437,'Vendas'!$A$6:$A$437,A40)</x:f>
        <x:v>1927199.8800000001</x:v>
      </x:c>
      <x:c r="E40" s="17" t="n">
        <x:f>SUMIFS('Vendas'!$J$6:$J$437,'Vendas'!$A$6:$A$437,A40)</x:f>
        <x:v>1205201.91</x:v>
      </x:c>
      <x:c r="F40" s="17" t="n">
        <x:f>SUMIFS('Vendas'!$X$6:$X$437,'Vendas'!$A$6:$A$437,A40)</x:f>
        <x:v>476540.79999999993</x:v>
      </x:c>
      <x:c r="G40" s="22" t="n">
        <x:f>IF(D40=0,"",(D40-E40)/D40)</x:f>
        <x:v>0.3746357487319894</x:v>
      </x:c>
      <x:c r="H40" s="22" t="n">
        <x:f>IF(D40=0,"",F40/D40)</x:f>
        <x:v>0.2472710822294156</x:v>
      </x:c>
      <x:c r="I40" s="17" t="n">
        <x:f>IF(C40=0,"",B40/C40)</x:f>
        <x:v>1162.0394901960783</x:v>
      </x:c>
      <x:c r="J40" s="17" t="n">
        <x:f>IF(N40=0,"",M40/N40)</x:f>
        <x:v>118.5672082717873</x:v>
      </x:c>
      <x:c r="K40" s="22" t="n">
        <x:f>IF(C40=0,"",O40/C40)</x:f>
        <x:v>0.19047619047619047</x:v>
      </x:c>
      <x:c r="L40" s="23" t="n">
        <x:f>IF(P40=0,"",100*(Q40-R40)/P40)</x:f>
        <x:v>29.895104895104897</x:v>
      </x:c>
      <x:c r="M40" s="17" t="n">
        <x:f>SUMIFS('Vendas'!$M$6:$M$437,'Vendas'!$A$6:$A$437,A40)</x:f>
        <x:v>80270</x:v>
      </x:c>
      <x:c r="N40" s="16" t="n">
        <x:f>SUMIFS('Vendas'!$N$6:$N$437,'Vendas'!$A$6:$A$437,A40)</x:f>
        <x:v>677</x:v>
      </x:c>
      <x:c r="O40" s="16" t="n">
        <x:f>SUMIFS('Vendas'!$O$6:$O$437,'Vendas'!$A$6:$A$437,A40)</x:f>
        <x:v>340</x:v>
      </x:c>
      <x:c r="P40" s="16" t="n">
        <x:f>SUMIFS('Vendas'!$Q$6:$Q$437,'Vendas'!$A$6:$A$437,A40)</x:f>
        <x:v>572</x:v>
      </x:c>
      <x:c r="Q40" s="16" t="n">
        <x:f>SUMIFS('Vendas'!$R$6:$R$437,'Vendas'!$A$6:$A$437,A40)</x:f>
        <x:v>306</x:v>
      </x:c>
      <x:c r="R40" s="16" t="n">
        <x:f>SUMIFS('Vendas'!$S$6:$S$437,'Vendas'!$A$6:$A$437,A40)</x:f>
        <x:v>135</x:v>
      </x:c>
      <x:c r="S40" s="17" t="n">
        <x:f>SUMIFS('Vendas'!$K$6:$K$437,'Vendas'!$A$6:$A$437,A40)</x:f>
        <x:v>118934.37999999999</x:v>
      </x:c>
      <x:c r="T40" s="17" t="n">
        <x:f>SUMIFS('Vendas'!$G$6:$G$437,'Vendas'!$A$6:$A$437,A40)</x:f>
        <x:v>91036.10999999999</x:v>
      </x:c>
      <x:c r="U40" s="17" t="n">
        <x:f>SUMIFS('Vendas'!$H$6:$H$437,'Vendas'!$A$6:$A$437,A40)</x:f>
        <x:v>56004.5</x:v>
      </x:c>
      <x:c r="V40" s="16" t="n">
        <x:f>SUMIFS('Vendas'!$P$6:$P$437,'Vendas'!$A$6:$A$437,A40)</x:f>
        <x:v>62</x:v>
      </x:c>
    </x:row>
    <x:row r="41" ht="24" customHeight="1">
      <x:c r="A41" s="14" t="n">
        <x:v>45992</x:v>
      </x:c>
      <x:c r="B41" s="17" t="n">
        <x:f>SUMIFS('Vendas'!$F$6:$F$437,'Vendas'!$A$6:$A$437,A41)</x:f>
        <x:v>2049694.1500000001</x:v>
      </x:c>
      <x:c r="C41" s="16" t="n">
        <x:f>SUMIFS('Vendas'!$E$6:$E$437,'Vendas'!$A$6:$A$437,A41)</x:f>
        <x:v>1763</x:v>
      </x:c>
      <x:c r="D41" s="17" t="n">
        <x:f>SUMIFS('Vendas'!$I$6:$I$437,'Vendas'!$A$6:$A$437,A41)</x:f>
        <x:v>1902230.05</x:v>
      </x:c>
      <x:c r="E41" s="17" t="n">
        <x:f>SUMIFS('Vendas'!$J$6:$J$437,'Vendas'!$A$6:$A$437,A41)</x:f>
        <x:v>1192526.1199999999</x:v>
      </x:c>
      <x:c r="F41" s="17" t="n">
        <x:f>SUMIFS('Vendas'!$X$6:$X$437,'Vendas'!$A$6:$A$437,A41)</x:f>
        <x:v>464921.59000000014</x:v>
      </x:c>
      <x:c r="G41" s="22" t="n">
        <x:f>IF(D41=0,"",(D41-E41)/D41)</x:f>
        <x:v>0.37309048398220823</x:v>
      </x:c>
      <x:c r="H41" s="22" t="n">
        <x:f>IF(D41=0,"",F41/D41)</x:f>
        <x:v>0.24440870861019157</x:v>
      </x:c>
      <x:c r="I41" s="17" t="n">
        <x:f>IF(C41=0,"",B41/C41)</x:f>
        <x:v>1162.6172149744755</x:v>
      </x:c>
      <x:c r="J41" s="17" t="n">
        <x:f>IF(N41=0,"",M41/N41)</x:f>
        <x:v>118.7344113263785</x:v>
      </x:c>
      <x:c r="K41" s="22" t="n">
        <x:f>IF(C41=0,"",O41/C41)</x:f>
        <x:v>0.19568916619398752</x:v>
      </x:c>
      <x:c r="L41" s="23" t="n">
        <x:f>IF(P41=0,"",100*(Q41-R41)/P41)</x:f>
        <x:v>28.849557522123895</x:v>
      </x:c>
      <x:c r="M41" s="17" t="n">
        <x:f>SUMIFS('Vendas'!$M$6:$M$437,'Vendas'!$A$6:$A$437,A41)</x:f>
        <x:v>79670.78999999998</x:v>
      </x:c>
      <x:c r="N41" s="16" t="n">
        <x:f>SUMIFS('Vendas'!$N$6:$N$437,'Vendas'!$A$6:$A$437,A41)</x:f>
        <x:v>671</x:v>
      </x:c>
      <x:c r="O41" s="16" t="n">
        <x:f>SUMIFS('Vendas'!$O$6:$O$437,'Vendas'!$A$6:$A$437,A41)</x:f>
        <x:v>345</x:v>
      </x:c>
      <x:c r="P41" s="16" t="n">
        <x:f>SUMIFS('Vendas'!$Q$6:$Q$437,'Vendas'!$A$6:$A$437,A41)</x:f>
        <x:v>565</x:v>
      </x:c>
      <x:c r="Q41" s="16" t="n">
        <x:f>SUMIFS('Vendas'!$R$6:$R$437,'Vendas'!$A$6:$A$437,A41)</x:f>
        <x:v>299</x:v>
      </x:c>
      <x:c r="R41" s="16" t="n">
        <x:f>SUMIFS('Vendas'!$S$6:$S$437,'Vendas'!$A$6:$A$437,A41)</x:f>
        <x:v>136</x:v>
      </x:c>
      <x:c r="S41" s="17" t="n">
        <x:f>SUMIFS('Vendas'!$K$6:$K$437,'Vendas'!$A$6:$A$437,A41)</x:f>
        <x:v>119458.03000000001</x:v>
      </x:c>
      <x:c r="T41" s="17" t="n">
        <x:f>SUMIFS('Vendas'!$G$6:$G$437,'Vendas'!$A$6:$A$437,A41)</x:f>
        <x:v>91097.53000000001</x:v>
      </x:c>
      <x:c r="U41" s="17" t="n">
        <x:f>SUMIFS('Vendas'!$H$6:$H$437,'Vendas'!$A$6:$A$437,A41)</x:f>
        <x:v>56366.56999999999</x:v>
      </x:c>
      <x:c r="V41" s="16" t="n">
        <x:f>SUMIFS('Vendas'!$P$6:$P$437,'Vendas'!$A$6:$A$437,A41)</x:f>
        <x:v>63</x:v>
      </x:c>
    </x:row>
  </x:sheetData>
  <x:pageMargins left="0.7" right="0.7" top="0.75" bottom="0.75" header="0.3" footer="0.3"/>
  <x:tableParts count="1">
    <x:tablePart xmlns:r="http://schemas.openxmlformats.org/officeDocument/2006/relationships" r:id="R21a4cca8be2f4537"/>
  </x:tableParts>
</x:worksheet>
</file>

<file path=xl/worksheets/sheet7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23" hidden="0" customWidth="1"/>
    <x:col min="23" max="23" width="23" hidden="0" customWidth="1"/>
  </x:cols>
  <x:sheetData>
    <x:row r="1" ht="32" customHeight="1">
      <x:c r="A1" s="4" t="str">
        <x:v>Comparativo por canal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</x:row>
    <x:row r="2" ht="22" customHeight="1">
      <x:c r="A2" s="5" t="str">
        <x:v>NC-2026.1 · valores em reais · taxas recalculadas pelos totais do recorte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</x:row>
    <x:row r="3" ht="10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</x:row>
    <x:row r="4" ht="10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</x:row>
    <x:row r="5" ht="46" customHeight="1">
      <x:c r="A5" s="11" t="str">
        <x:v>ano</x:v>
      </x:c>
      <x:c r="B5" s="12" t="str">
        <x:v>canal</x:v>
      </x:c>
      <x:c r="C5" s="12" t="str">
        <x:v>receita_bruta</x:v>
      </x:c>
      <x:c r="D5" s="12" t="str">
        <x:v>pedidos</x:v>
      </x:c>
      <x:c r="E5" s="12" t="str">
        <x:v>receita_liquida</x:v>
      </x:c>
      <x:c r="F5" s="12" t="str">
        <x:v>cmv</x:v>
      </x:c>
      <x:c r="G5" s="12" t="str">
        <x:v>contribuicao_valor</x:v>
      </x:c>
      <x:c r="H5" s="12" t="str">
        <x:v>margem_bruta_pct</x:v>
      </x:c>
      <x:c r="I5" s="12" t="str">
        <x:v>contribuicao_pct</x:v>
      </x:c>
      <x:c r="J5" s="12" t="str">
        <x:v>ticket_bruto</x:v>
      </x:c>
      <x:c r="K5" s="12" t="str">
        <x:v>cac_gerencial</x:v>
      </x:c>
      <x:c r="L5" s="12" t="str">
        <x:v>taxa_atraso</x:v>
      </x:c>
      <x:c r="M5" s="12" t="str">
        <x:v>nps</x:v>
      </x:c>
      <x:c r="N5" s="12" t="str">
        <x:v>marketing_investimento</x:v>
      </x:c>
      <x:c r="O5" s="12" t="str">
        <x:v>novos_clientes</x:v>
      </x:c>
      <x:c r="P5" s="12" t="str">
        <x:v>pedidos_atrasados</x:v>
      </x:c>
      <x:c r="Q5" s="12" t="str">
        <x:v>respostas_nps</x:v>
      </x:c>
      <x:c r="R5" s="12" t="str">
        <x:v>promotores_nps</x:v>
      </x:c>
      <x:c r="S5" s="12" t="str">
        <x:v>detratores_nps</x:v>
      </x:c>
      <x:c r="T5" s="12" t="str">
        <x:v>frete_custo</x:v>
      </x:c>
      <x:c r="U5" s="12" t="str">
        <x:v>descontos</x:v>
      </x:c>
      <x:c r="V5" s="12" t="str">
        <x:v>devolucoes_valor</x:v>
      </x:c>
      <x:c r="W5" s="13" t="str">
        <x:v>devolucoes_pedidos</x:v>
      </x:c>
    </x:row>
    <x:row r="6" ht="24" customHeight="1">
      <x:c r="A6" s="2" t="n">
        <x:v>2023</x:v>
      </x:c>
      <x:c r="B6" s="2" t="str">
        <x:v>E-commerce</x:v>
      </x:c>
      <x:c r="C6" s="17" t="n">
        <x:f>SUMIFS('Vendas'!$F$6:$F$437,'Vendas'!$T$6:$T$437,A6,'Vendas'!$B$6:$B$437,B6)</x:f>
        <x:v>5618129.39</x:v>
      </x:c>
      <x:c r="D6" s="16" t="n">
        <x:f>SUMIFS('Vendas'!$E$6:$E$437,'Vendas'!$T$6:$T$437,A6,'Vendas'!$B$6:$B$437,B6)</x:f>
        <x:v>4835</x:v>
      </x:c>
      <x:c r="E6" s="17" t="n">
        <x:f>SUMIFS('Vendas'!$I$6:$I$437,'Vendas'!$T$6:$T$437,A6,'Vendas'!$B$6:$B$437,B6)</x:f>
        <x:v>5386238.59</x:v>
      </x:c>
      <x:c r="F6" s="17" t="n">
        <x:f>SUMIFS('Vendas'!$J$6:$J$437,'Vendas'!$T$6:$T$437,A6,'Vendas'!$B$6:$B$437,B6)</x:f>
        <x:v>2857410.08</x:v>
      </x:c>
      <x:c r="G6" s="17" t="n">
        <x:f>SUMIFS('Vendas'!$X$6:$X$437,'Vendas'!$T$6:$T$437,A6,'Vendas'!$B$6:$B$437,B6)</x:f>
        <x:v>1748193.07</x:v>
      </x:c>
      <x:c r="H6" s="22" t="n">
        <x:f>IF(E6=0,"",(E6-F6)/E6)</x:f>
        <x:v>0.4694980491014602</x:v>
      </x:c>
      <x:c r="I6" s="22" t="n">
        <x:f>IF(E6=0,"",G6/E6)</x:f>
        <x:v>0.3245665859001616</x:v>
      </x:c>
      <x:c r="J6" s="17" t="n">
        <x:f>IF(D6=0,"",C6/D6)</x:f>
        <x:v>1161.970918304033</x:v>
      </x:c>
      <x:c r="K6" s="17" t="n">
        <x:f>IF(O6=0,"",N6/O6)</x:f>
        <x:v>160.55957074721783</x:v>
      </x:c>
      <x:c r="L6" s="22" t="n">
        <x:f>IF(D6=0,"",P6/D6)</x:f>
        <x:v>0.0641158221302999</x:v>
      </x:c>
      <x:c r="M6" s="23" t="n">
        <x:f>IF(Q6=0,"",100*(R6-S6)/Q6)</x:f>
        <x:v>58.34411384217335</x:v>
      </x:c>
      <x:c r="N6" s="17" t="n">
        <x:f>SUMIFS('Vendas'!$M$6:$M$437,'Vendas'!$T$6:$T$437,A6,'Vendas'!$B$6:$B$437,B6)</x:f>
        <x:v>403967.88000000006</x:v>
      </x:c>
      <x:c r="O6" s="16" t="n">
        <x:f>SUMIFS('Vendas'!$N$6:$N$437,'Vendas'!$T$6:$T$437,A6,'Vendas'!$B$6:$B$437,B6)</x:f>
        <x:v>2516</x:v>
      </x:c>
      <x:c r="P6" s="16" t="n">
        <x:f>SUMIFS('Vendas'!$O$6:$O$437,'Vendas'!$T$6:$T$437,A6,'Vendas'!$B$6:$B$437,B6)</x:f>
        <x:v>310</x:v>
      </x:c>
      <x:c r="Q6" s="16" t="n">
        <x:f>SUMIFS('Vendas'!$Q$6:$Q$437,'Vendas'!$T$6:$T$437,A6,'Vendas'!$B$6:$B$437,B6)</x:f>
        <x:v>1546</x:v>
      </x:c>
      <x:c r="R6" s="16" t="n">
        <x:f>SUMIFS('Vendas'!$R$6:$R$437,'Vendas'!$T$6:$T$437,A6,'Vendas'!$B$6:$B$437,B6)</x:f>
        <x:v>1093</x:v>
      </x:c>
      <x:c r="S6" s="16" t="n">
        <x:f>SUMIFS('Vendas'!$S$6:$S$437,'Vendas'!$T$6:$T$437,A6,'Vendas'!$B$6:$B$437,B6)</x:f>
        <x:v>191</x:v>
      </x:c>
      <x:c r="T6" s="17" t="n">
        <x:f>SUMIFS('Vendas'!$K$6:$K$437,'Vendas'!$T$6:$T$437,A6,'Vendas'!$B$6:$B$437,B6)</x:f>
        <x:v>247397.87</x:v>
      </x:c>
      <x:c r="U6" s="17" t="n">
        <x:f>SUMIFS('Vendas'!$G$6:$G$437,'Vendas'!$T$6:$T$437,A6,'Vendas'!$B$6:$B$437,B6)</x:f>
        <x:v>159009.15999999997</x:v>
      </x:c>
      <x:c r="V6" s="17" t="n">
        <x:f>SUMIFS('Vendas'!$H$6:$H$437,'Vendas'!$T$6:$T$437,A6,'Vendas'!$B$6:$B$437,B6)</x:f>
        <x:v>72881.63999999998</x:v>
      </x:c>
      <x:c r="W6" s="16" t="n">
        <x:f>SUMIFS('Vendas'!$P$6:$P$437,'Vendas'!$T$6:$T$437,A6,'Vendas'!$B$6:$B$437,B6)</x:f>
        <x:v>99</x:v>
      </x:c>
    </x:row>
    <x:row r="7" ht="24" customHeight="1">
      <x:c r="A7" s="2" t="n">
        <x:v>2023</x:v>
      </x:c>
      <x:c r="B7" s="2" t="str">
        <x:v>Lojas</x:v>
      </x:c>
      <x:c r="C7" s="17" t="n">
        <x:f>SUMIFS('Vendas'!$F$6:$F$437,'Vendas'!$T$6:$T$437,A7,'Vendas'!$B$6:$B$437,B7)</x:f>
        <x:v>4831200.22</x:v>
      </x:c>
      <x:c r="D7" s="16" t="n">
        <x:f>SUMIFS('Vendas'!$E$6:$E$437,'Vendas'!$T$6:$T$437,A7,'Vendas'!$B$6:$B$437,B7)</x:f>
        <x:v>4160</x:v>
      </x:c>
      <x:c r="E7" s="17" t="n">
        <x:f>SUMIFS('Vendas'!$I$6:$I$437,'Vendas'!$T$6:$T$437,A7,'Vendas'!$B$6:$B$437,B7)</x:f>
        <x:v>4631537.370000001</x:v>
      </x:c>
      <x:c r="F7" s="17" t="n">
        <x:f>SUMIFS('Vendas'!$J$6:$J$437,'Vendas'!$T$6:$T$437,A7,'Vendas'!$B$6:$B$437,B7)</x:f>
        <x:v>2455716.17</x:v>
      </x:c>
      <x:c r="G7" s="17" t="n">
        <x:f>SUMIFS('Vendas'!$X$6:$X$437,'Vendas'!$T$6:$T$437,A7,'Vendas'!$B$6:$B$437,B7)</x:f>
        <x:v>1865595.8599999996</x:v>
      </x:c>
      <x:c r="H7" s="22" t="n">
        <x:f>IF(E7=0,"",(E7-F7)/E7)</x:f>
        <x:v>0.46978379448981983</x:v>
      </x:c>
      <x:c r="I7" s="22" t="n">
        <x:f>IF(E7=0,"",G7/E7)</x:f>
        <x:v>0.40280272206893564</x:v>
      </x:c>
      <x:c r="J7" s="17" t="n">
        <x:f>IF(D7=0,"",C7/D7)</x:f>
        <x:v>1161.3462067307692</x:v>
      </x:c>
      <x:c r="K7" s="17" t="n">
        <x:f>IF(O7=0,"",N7/O7)</x:f>
        <x:v>71.62170103092784</x:v>
      </x:c>
      <x:c r="L7" s="22" t="n">
        <x:f>IF(D7=0,"",P7/D7)</x:f>
        <x:v>0.06442307692307692</x:v>
      </x:c>
      <x:c r="M7" s="23" t="n">
        <x:f>IF(Q7=0,"",100*(R7-S7)/Q7)</x:f>
        <x:v>57.914478619654915</x:v>
      </x:c>
      <x:c r="N7" s="17" t="n">
        <x:f>SUMIFS('Vendas'!$M$6:$M$437,'Vendas'!$T$6:$T$437,A7,'Vendas'!$B$6:$B$437,B7)</x:f>
        <x:v>83367.66</x:v>
      </x:c>
      <x:c r="O7" s="16" t="n">
        <x:f>SUMIFS('Vendas'!$N$6:$N$437,'Vendas'!$T$6:$T$437,A7,'Vendas'!$B$6:$B$437,B7)</x:f>
        <x:v>1164</x:v>
      </x:c>
      <x:c r="P7" s="16" t="n">
        <x:f>SUMIFS('Vendas'!$O$6:$O$437,'Vendas'!$T$6:$T$437,A7,'Vendas'!$B$6:$B$437,B7)</x:f>
        <x:v>268</x:v>
      </x:c>
      <x:c r="Q7" s="16" t="n">
        <x:f>SUMIFS('Vendas'!$Q$6:$Q$437,'Vendas'!$T$6:$T$437,A7,'Vendas'!$B$6:$B$437,B7)</x:f>
        <x:v>1333</x:v>
      </x:c>
      <x:c r="R7" s="16" t="n">
        <x:f>SUMIFS('Vendas'!$R$6:$R$437,'Vendas'!$T$6:$T$437,A7,'Vendas'!$B$6:$B$437,B7)</x:f>
        <x:v>937</x:v>
      </x:c>
      <x:c r="S7" s="16" t="n">
        <x:f>SUMIFS('Vendas'!$S$6:$S$437,'Vendas'!$T$6:$T$437,A7,'Vendas'!$B$6:$B$437,B7)</x:f>
        <x:v>165</x:v>
      </x:c>
      <x:c r="T7" s="17" t="n">
        <x:f>SUMIFS('Vendas'!$K$6:$K$437,'Vendas'!$T$6:$T$437,A7,'Vendas'!$B$6:$B$437,B7)</x:f>
        <x:v>115700.79</x:v>
      </x:c>
      <x:c r="U7" s="17" t="n">
        <x:f>SUMIFS('Vendas'!$G$6:$G$437,'Vendas'!$T$6:$T$437,A7,'Vendas'!$B$6:$B$437,B7)</x:f>
        <x:v>136869.9</x:v>
      </x:c>
      <x:c r="V7" s="17" t="n">
        <x:f>SUMIFS('Vendas'!$H$6:$H$437,'Vendas'!$T$6:$T$437,A7,'Vendas'!$B$6:$B$437,B7)</x:f>
        <x:v>62792.950000000004</x:v>
      </x:c>
      <x:c r="W7" s="16" t="n">
        <x:f>SUMIFS('Vendas'!$P$6:$P$437,'Vendas'!$T$6:$T$437,A7,'Vendas'!$B$6:$B$437,B7)</x:f>
        <x:v>85</x:v>
      </x:c>
    </x:row>
    <x:row r="8" ht="24" customHeight="1">
      <x:c r="A8" s="2" t="n">
        <x:v>2023</x:v>
      </x:c>
      <x:c r="B8" s="2" t="str">
        <x:v>B2B</x:v>
      </x:c>
      <x:c r="C8" s="17" t="n">
        <x:f>SUMIFS('Vendas'!$F$6:$F$437,'Vendas'!$T$6:$T$437,A8,'Vendas'!$B$6:$B$437,B8)</x:f>
        <x:v>3018859.6700000004</x:v>
      </x:c>
      <x:c r="D8" s="16" t="n">
        <x:f>SUMIFS('Vendas'!$E$6:$E$437,'Vendas'!$T$6:$T$437,A8,'Vendas'!$B$6:$B$437,B8)</x:f>
        <x:v>2597</x:v>
      </x:c>
      <x:c r="E8" s="17" t="n">
        <x:f>SUMIFS('Vendas'!$I$6:$I$437,'Vendas'!$T$6:$T$437,A8,'Vendas'!$B$6:$B$437,B8)</x:f>
        <x:v>2894028.629999999</x:v>
      </x:c>
      <x:c r="F8" s="17" t="n">
        <x:f>SUMIFS('Vendas'!$J$6:$J$437,'Vendas'!$T$6:$T$437,A8,'Vendas'!$B$6:$B$437,B8)</x:f>
        <x:v>1550886.5300000003</x:v>
      </x:c>
      <x:c r="G8" s="17" t="n">
        <x:f>SUMIFS('Vendas'!$X$6:$X$437,'Vendas'!$T$6:$T$437,A8,'Vendas'!$B$6:$B$437,B8)</x:f>
        <x:v>1149234.81</x:v>
      </x:c>
      <x:c r="H8" s="22" t="n">
        <x:f>IF(E8=0,"",(E8-F8)/E8)</x:f>
        <x:v>0.46410809004332454</x:v>
      </x:c>
      <x:c r="I8" s="22" t="n">
        <x:f>IF(E8=0,"",G8/E8)</x:f>
        <x:v>0.39710554280176574</x:v>
      </x:c>
      <x:c r="J8" s="17" t="n">
        <x:f>IF(D8=0,"",C8/D8)</x:f>
        <x:v>1162.441151328456</x:v>
      </x:c>
      <x:c r="K8" s="17" t="n">
        <x:f>IF(O8=0,"",N8/O8)</x:f>
        <x:v>71.26201094391249</x:v>
      </x:c>
      <x:c r="L8" s="22" t="n">
        <x:f>IF(D8=0,"",P8/D8)</x:f>
        <x:v>0.06391990758567578</x:v>
      </x:c>
      <x:c r="M8" s="23" t="n">
        <x:f>IF(Q8=0,"",100*(R8-S8)/Q8)</x:f>
        <x:v>58.41346153846154</x:v>
      </x:c>
      <x:c r="N8" s="17" t="n">
        <x:f>SUMIFS('Vendas'!$M$6:$M$437,'Vendas'!$T$6:$T$437,A8,'Vendas'!$B$6:$B$437,B8)</x:f>
        <x:v>52092.53000000003</x:v>
      </x:c>
      <x:c r="O8" s="16" t="n">
        <x:f>SUMIFS('Vendas'!$N$6:$N$437,'Vendas'!$T$6:$T$437,A8,'Vendas'!$B$6:$B$437,B8)</x:f>
        <x:v>731</x:v>
      </x:c>
      <x:c r="P8" s="16" t="n">
        <x:f>SUMIFS('Vendas'!$O$6:$O$437,'Vendas'!$T$6:$T$437,A8,'Vendas'!$B$6:$B$437,B8)</x:f>
        <x:v>166</x:v>
      </x:c>
      <x:c r="Q8" s="16" t="n">
        <x:f>SUMIFS('Vendas'!$Q$6:$Q$437,'Vendas'!$T$6:$T$437,A8,'Vendas'!$B$6:$B$437,B8)</x:f>
        <x:v>832</x:v>
      </x:c>
      <x:c r="R8" s="16" t="n">
        <x:f>SUMIFS('Vendas'!$R$6:$R$437,'Vendas'!$T$6:$T$437,A8,'Vendas'!$B$6:$B$437,B8)</x:f>
        <x:v>587</x:v>
      </x:c>
      <x:c r="S8" s="16" t="n">
        <x:f>SUMIFS('Vendas'!$S$6:$S$437,'Vendas'!$T$6:$T$437,A8,'Vendas'!$B$6:$B$437,B8)</x:f>
        <x:v>101</x:v>
      </x:c>
      <x:c r="T8" s="17" t="n">
        <x:f>SUMIFS('Vendas'!$K$6:$K$437,'Vendas'!$T$6:$T$437,A8,'Vendas'!$B$6:$B$437,B8)</x:f>
        <x:v>72358.05</x:v>
      </x:c>
      <x:c r="U8" s="17" t="n">
        <x:f>SUMIFS('Vendas'!$G$6:$G$437,'Vendas'!$T$6:$T$437,A8,'Vendas'!$B$6:$B$437,B8)</x:f>
        <x:v>85561.45999999999</x:v>
      </x:c>
      <x:c r="V8" s="17" t="n">
        <x:f>SUMIFS('Vendas'!$H$6:$H$437,'Vendas'!$T$6:$T$437,A8,'Vendas'!$B$6:$B$437,B8)</x:f>
        <x:v>39269.58</x:v>
      </x:c>
      <x:c r="W8" s="16" t="n">
        <x:f>SUMIFS('Vendas'!$P$6:$P$437,'Vendas'!$T$6:$T$437,A8,'Vendas'!$B$6:$B$437,B8)</x:f>
        <x:v>61</x:v>
      </x:c>
    </x:row>
    <x:row r="9" ht="24" customHeight="1">
      <x:c r="A9" s="2" t="n">
        <x:v>2024</x:v>
      </x:c>
      <x:c r="B9" s="2" t="str">
        <x:v>E-commerce</x:v>
      </x:c>
      <x:c r="C9" s="17" t="n">
        <x:f>SUMIFS('Vendas'!$F$6:$F$437,'Vendas'!$T$6:$T$437,A9,'Vendas'!$B$6:$B$437,B9)</x:f>
        <x:v>6779237.03</x:v>
      </x:c>
      <x:c r="D9" s="16" t="n">
        <x:f>SUMIFS('Vendas'!$E$6:$E$437,'Vendas'!$T$6:$T$437,A9,'Vendas'!$B$6:$B$437,B9)</x:f>
        <x:v>5833</x:v>
      </x:c>
      <x:c r="E9" s="17" t="n">
        <x:f>SUMIFS('Vendas'!$I$6:$I$437,'Vendas'!$T$6:$T$437,A9,'Vendas'!$B$6:$B$437,B9)</x:f>
        <x:v>6413929.589999998</x:v>
      </x:c>
      <x:c r="F9" s="17" t="n">
        <x:f>SUMIFS('Vendas'!$J$6:$J$437,'Vendas'!$T$6:$T$437,A9,'Vendas'!$B$6:$B$437,B9)</x:f>
        <x:v>3691555.13</x:v>
      </x:c>
      <x:c r="G9" s="17" t="n">
        <x:f>SUMIFS('Vendas'!$X$6:$X$437,'Vendas'!$T$6:$T$437,A9,'Vendas'!$B$6:$B$437,B9)</x:f>
        <x:v>1716168.0399999996</x:v>
      </x:c>
      <x:c r="H9" s="22" t="n">
        <x:f>IF(E9=0,"",(E9-F9)/E9)</x:f>
        <x:v>0.4244472007058623</x:v>
      </x:c>
      <x:c r="I9" s="22" t="n">
        <x:f>IF(E9=0,"",G9/E9)</x:f>
        <x:v>0.26756889297252173</x:v>
      </x:c>
      <x:c r="J9" s="17" t="n">
        <x:f>IF(D9=0,"",C9/D9)</x:f>
        <x:v>1162.2213320761186</x:v>
      </x:c>
      <x:c r="K9" s="17" t="n">
        <x:f>IF(O9=0,"",N9/O9)</x:f>
        <x:v>158.65591029023747</x:v>
      </x:c>
      <x:c r="L9" s="22" t="n">
        <x:f>IF(D9=0,"",P9/D9)</x:f>
        <x:v>0.11177781587519287</x:v>
      </x:c>
      <x:c r="M9" s="23" t="n">
        <x:f>IF(Q9=0,"",100*(R9-S9)/Q9)</x:f>
        <x:v>46.27345844504021</x:v>
      </x:c>
      <x:c r="N9" s="17" t="n">
        <x:f>SUMIFS('Vendas'!$M$6:$M$437,'Vendas'!$T$6:$T$437,A9,'Vendas'!$B$6:$B$437,B9)</x:f>
        <x:v>481044.72</x:v>
      </x:c>
      <x:c r="O9" s="16" t="n">
        <x:f>SUMIFS('Vendas'!$N$6:$N$437,'Vendas'!$T$6:$T$437,A9,'Vendas'!$B$6:$B$437,B9)</x:f>
        <x:v>3032</x:v>
      </x:c>
      <x:c r="P9" s="16" t="n">
        <x:f>SUMIFS('Vendas'!$O$6:$O$437,'Vendas'!$T$6:$T$437,A9,'Vendas'!$B$6:$B$437,B9)</x:f>
        <x:v>652</x:v>
      </x:c>
      <x:c r="Q9" s="16" t="n">
        <x:f>SUMIFS('Vendas'!$Q$6:$Q$437,'Vendas'!$T$6:$T$437,A9,'Vendas'!$B$6:$B$437,B9)</x:f>
        <x:v>1865</x:v>
      </x:c>
      <x:c r="R9" s="16" t="n">
        <x:f>SUMIFS('Vendas'!$R$6:$R$437,'Vendas'!$T$6:$T$437,A9,'Vendas'!$B$6:$B$437,B9)</x:f>
        <x:v>1182</x:v>
      </x:c>
      <x:c r="S9" s="16" t="n">
        <x:f>SUMIFS('Vendas'!$S$6:$S$437,'Vendas'!$T$6:$T$437,A9,'Vendas'!$B$6:$B$437,B9)</x:f>
        <x:v>319</x:v>
      </x:c>
      <x:c r="T9" s="17" t="n">
        <x:f>SUMIFS('Vendas'!$K$6:$K$437,'Vendas'!$T$6:$T$437,A9,'Vendas'!$B$6:$B$437,B9)</x:f>
        <x:v>371227.42000000004</x:v>
      </x:c>
      <x:c r="U9" s="17" t="n">
        <x:f>SUMIFS('Vendas'!$G$6:$G$437,'Vendas'!$T$6:$T$437,A9,'Vendas'!$B$6:$B$437,B9)</x:f>
        <x:v>236867.35</x:v>
      </x:c>
      <x:c r="V9" s="17" t="n">
        <x:f>SUMIFS('Vendas'!$H$6:$H$437,'Vendas'!$T$6:$T$437,A9,'Vendas'!$B$6:$B$437,B9)</x:f>
        <x:v>128440.08999999998</x:v>
      </x:c>
      <x:c r="W9" s="16" t="n">
        <x:f>SUMIFS('Vendas'!$P$6:$P$437,'Vendas'!$T$6:$T$437,A9,'Vendas'!$B$6:$B$437,B9)</x:f>
        <x:v>158</x:v>
      </x:c>
    </x:row>
    <x:row r="10" ht="24" customHeight="1">
      <x:c r="A10" s="2" t="n">
        <x:v>2024</x:v>
      </x:c>
      <x:c r="B10" s="2" t="str">
        <x:v>Lojas</x:v>
      </x:c>
      <x:c r="C10" s="17" t="n">
        <x:f>SUMIFS('Vendas'!$F$6:$F$437,'Vendas'!$T$6:$T$437,A10,'Vendas'!$B$6:$B$437,B10)</x:f>
        <x:v>5840259.27</x:v>
      </x:c>
      <x:c r="D10" s="16" t="n">
        <x:f>SUMIFS('Vendas'!$E$6:$E$437,'Vendas'!$T$6:$T$437,A10,'Vendas'!$B$6:$B$437,B10)</x:f>
        <x:v>5024</x:v>
      </x:c>
      <x:c r="E10" s="17" t="n">
        <x:f>SUMIFS('Vendas'!$I$6:$I$437,'Vendas'!$T$6:$T$437,A10,'Vendas'!$B$6:$B$437,B10)</x:f>
        <x:v>5525069.380000001</x:v>
      </x:c>
      <x:c r="F10" s="17" t="n">
        <x:f>SUMIFS('Vendas'!$J$6:$J$437,'Vendas'!$T$6:$T$437,A10,'Vendas'!$B$6:$B$437,B10)</x:f>
        <x:v>3138584.930000001</x:v>
      </x:c>
      <x:c r="G10" s="17" t="n">
        <x:f>SUMIFS('Vendas'!$X$6:$X$437,'Vendas'!$T$6:$T$437,A10,'Vendas'!$B$6:$B$437,B10)</x:f>
        <x:v>1950245.700000001</x:v>
      </x:c>
      <x:c r="H10" s="22" t="n">
        <x:f>IF(E10=0,"",(E10-F10)/E10)</x:f>
        <x:v>0.4319374628377969</x:v>
      </x:c>
      <x:c r="I10" s="22" t="n">
        <x:f>IF(E10=0,"",G10/E10)</x:f>
        <x:v>0.35298121450920145</x:v>
      </x:c>
      <x:c r="J10" s="17" t="n">
        <x:f>IF(D10=0,"",C10/D10)</x:f>
        <x:v>1162.471988455414</x:v>
      </x:c>
      <x:c r="K10" s="17" t="n">
        <x:f>IF(O10=0,"",N10/O10)</x:f>
        <x:v>70.73345661450922</x:v>
      </x:c>
      <x:c r="L10" s="22" t="n">
        <x:f>IF(D10=0,"",P10/D10)</x:f>
        <x:v>0.11226114649681529</x:v>
      </x:c>
      <x:c r="M10" s="23" t="n">
        <x:f>IF(Q10=0,"",100*(R10-S10)/Q10)</x:f>
        <x:v>45.952677459526775</x:v>
      </x:c>
      <x:c r="N10" s="17" t="n">
        <x:f>SUMIFS('Vendas'!$M$6:$M$437,'Vendas'!$T$6:$T$437,A10,'Vendas'!$B$6:$B$437,B10)</x:f>
        <x:v>99451.23999999998</x:v>
      </x:c>
      <x:c r="O10" s="16" t="n">
        <x:f>SUMIFS('Vendas'!$N$6:$N$437,'Vendas'!$T$6:$T$437,A10,'Vendas'!$B$6:$B$437,B10)</x:f>
        <x:v>1406</x:v>
      </x:c>
      <x:c r="P10" s="16" t="n">
        <x:f>SUMIFS('Vendas'!$O$6:$O$437,'Vendas'!$T$6:$T$437,A10,'Vendas'!$B$6:$B$437,B10)</x:f>
        <x:v>564</x:v>
      </x:c>
      <x:c r="Q10" s="16" t="n">
        <x:f>SUMIFS('Vendas'!$Q$6:$Q$437,'Vendas'!$T$6:$T$437,A10,'Vendas'!$B$6:$B$437,B10)</x:f>
        <x:v>1606</x:v>
      </x:c>
      <x:c r="R10" s="16" t="n">
        <x:f>SUMIFS('Vendas'!$R$6:$R$437,'Vendas'!$T$6:$T$437,A10,'Vendas'!$B$6:$B$437,B10)</x:f>
        <x:v>1013</x:v>
      </x:c>
      <x:c r="S10" s="16" t="n">
        <x:f>SUMIFS('Vendas'!$S$6:$S$437,'Vendas'!$T$6:$T$437,A10,'Vendas'!$B$6:$B$437,B10)</x:f>
        <x:v>275</x:v>
      </x:c>
      <x:c r="T10" s="17" t="n">
        <x:f>SUMIFS('Vendas'!$K$6:$K$437,'Vendas'!$T$6:$T$437,A10,'Vendas'!$B$6:$B$437,B10)</x:f>
        <x:v>204185.86000000002</x:v>
      </x:c>
      <x:c r="U10" s="17" t="n">
        <x:f>SUMIFS('Vendas'!$G$6:$G$437,'Vendas'!$T$6:$T$437,A10,'Vendas'!$B$6:$B$437,B10)</x:f>
        <x:v>204312.17999999996</x:v>
      </x:c>
      <x:c r="V10" s="17" t="n">
        <x:f>SUMIFS('Vendas'!$H$6:$H$437,'Vendas'!$T$6:$T$437,A10,'Vendas'!$B$6:$B$437,B10)</x:f>
        <x:v>110877.71</x:v>
      </x:c>
      <x:c r="W10" s="16" t="n">
        <x:f>SUMIFS('Vendas'!$P$6:$P$437,'Vendas'!$T$6:$T$437,A10,'Vendas'!$B$6:$B$437,B10)</x:f>
        <x:v>136</x:v>
      </x:c>
    </x:row>
    <x:row r="11" ht="24" customHeight="1">
      <x:c r="A11" s="2" t="n">
        <x:v>2024</x:v>
      </x:c>
      <x:c r="B11" s="2" t="str">
        <x:v>B2B</x:v>
      </x:c>
      <x:c r="C11" s="17" t="n">
        <x:f>SUMIFS('Vendas'!$F$6:$F$437,'Vendas'!$T$6:$T$437,A11,'Vendas'!$B$6:$B$437,B11)</x:f>
        <x:v>3557523.6899999995</x:v>
      </x:c>
      <x:c r="D11" s="16" t="n">
        <x:f>SUMIFS('Vendas'!$E$6:$E$437,'Vendas'!$T$6:$T$437,A11,'Vendas'!$B$6:$B$437,B11)</x:f>
        <x:v>3059</x:v>
      </x:c>
      <x:c r="E11" s="17" t="n">
        <x:f>SUMIFS('Vendas'!$I$6:$I$437,'Vendas'!$T$6:$T$437,A11,'Vendas'!$B$6:$B$437,B11)</x:f>
        <x:v>3365612.1500000004</x:v>
      </x:c>
      <x:c r="F11" s="17" t="n">
        <x:f>SUMIFS('Vendas'!$J$6:$J$437,'Vendas'!$T$6:$T$437,A11,'Vendas'!$B$6:$B$437,B11)</x:f>
        <x:v>1918519.9099999995</x:v>
      </x:c>
      <x:c r="G11" s="17" t="n">
        <x:f>SUMIFS('Vendas'!$X$6:$X$437,'Vendas'!$T$6:$T$437,A11,'Vendas'!$B$6:$B$437,B11)</x:f>
        <x:v>1181429.9800000002</x:v>
      </x:c>
      <x:c r="H11" s="22" t="n">
        <x:f>IF(E11=0,"",(E11-F11)/E11)</x:f>
        <x:v>0.42996405275040406</x:v>
      </x:c>
      <x:c r="I11" s="22" t="n">
        <x:f>IF(E11=0,"",G11/E11)</x:f>
        <x:v>0.35102974654997016</x:v>
      </x:c>
      <x:c r="J11" s="17" t="n">
        <x:f>IF(D11=0,"",C11/D11)</x:f>
        <x:v>1162.9694965675055</x:v>
      </x:c>
      <x:c r="K11" s="17" t="n">
        <x:f>IF(O11=0,"",N11/O11)</x:f>
        <x:v>70.5250407450524</x:v>
      </x:c>
      <x:c r="L11" s="22" t="n">
        <x:f>IF(D11=0,"",P11/D11)</x:f>
        <x:v>0.11180124223602485</x:v>
      </x:c>
      <x:c r="M11" s="23" t="n">
        <x:f>IF(Q11=0,"",100*(R11-S11)/Q11)</x:f>
        <x:v>45.69672131147541</x:v>
      </x:c>
      <x:c r="N11" s="17" t="n">
        <x:f>SUMIFS('Vendas'!$M$6:$M$437,'Vendas'!$T$6:$T$437,A11,'Vendas'!$B$6:$B$437,B11)</x:f>
        <x:v>60581.01000000001</x:v>
      </x:c>
      <x:c r="O11" s="16" t="n">
        <x:f>SUMIFS('Vendas'!$N$6:$N$437,'Vendas'!$T$6:$T$437,A11,'Vendas'!$B$6:$B$437,B11)</x:f>
        <x:v>859</x:v>
      </x:c>
      <x:c r="P11" s="16" t="n">
        <x:f>SUMIFS('Vendas'!$O$6:$O$437,'Vendas'!$T$6:$T$437,A11,'Vendas'!$B$6:$B$437,B11)</x:f>
        <x:v>342</x:v>
      </x:c>
      <x:c r="Q11" s="16" t="n">
        <x:f>SUMIFS('Vendas'!$Q$6:$Q$437,'Vendas'!$T$6:$T$437,A11,'Vendas'!$B$6:$B$437,B11)</x:f>
        <x:v>976</x:v>
      </x:c>
      <x:c r="R11" s="16" t="n">
        <x:f>SUMIFS('Vendas'!$R$6:$R$437,'Vendas'!$T$6:$T$437,A11,'Vendas'!$B$6:$B$437,B11)</x:f>
        <x:v>615</x:v>
      </x:c>
      <x:c r="S11" s="16" t="n">
        <x:f>SUMIFS('Vendas'!$S$6:$S$437,'Vendas'!$T$6:$T$437,A11,'Vendas'!$B$6:$B$437,B11)</x:f>
        <x:v>169</x:v>
      </x:c>
      <x:c r="T11" s="17" t="n">
        <x:f>SUMIFS('Vendas'!$K$6:$K$437,'Vendas'!$T$6:$T$437,A11,'Vendas'!$B$6:$B$437,B11)</x:f>
        <x:v>124306.56</x:v>
      </x:c>
      <x:c r="U11" s="17" t="n">
        <x:f>SUMIFS('Vendas'!$G$6:$G$437,'Vendas'!$T$6:$T$437,A11,'Vendas'!$B$6:$B$437,B11)</x:f>
        <x:v>124410.85000000003</x:v>
      </x:c>
      <x:c r="V11" s="17" t="n">
        <x:f>SUMIFS('Vendas'!$H$6:$H$437,'Vendas'!$T$6:$T$437,A11,'Vendas'!$B$6:$B$437,B11)</x:f>
        <x:v>67500.68999999999</x:v>
      </x:c>
      <x:c r="W11" s="16" t="n">
        <x:f>SUMIFS('Vendas'!$P$6:$P$437,'Vendas'!$T$6:$T$437,A11,'Vendas'!$B$6:$B$437,B11)</x:f>
        <x:v>83</x:v>
      </x:c>
    </x:row>
    <x:row r="12" ht="24" customHeight="1">
      <x:c r="A12" s="2" t="n">
        <x:v>2025</x:v>
      </x:c>
      <x:c r="B12" s="2" t="str">
        <x:v>E-commerce</x:v>
      </x:c>
      <x:c r="C12" s="17" t="n">
        <x:f>SUMIFS('Vendas'!$F$6:$F$437,'Vendas'!$T$6:$T$437,A12,'Vendas'!$B$6:$B$437,B12)</x:f>
        <x:v>7974669.600000001</x:v>
      </x:c>
      <x:c r="D12" s="16" t="n">
        <x:f>SUMIFS('Vendas'!$E$6:$E$437,'Vendas'!$T$6:$T$437,A12,'Vendas'!$B$6:$B$437,B12)</x:f>
        <x:v>6862</x:v>
      </x:c>
      <x:c r="E12" s="17" t="n">
        <x:f>SUMIFS('Vendas'!$I$6:$I$437,'Vendas'!$T$6:$T$437,A12,'Vendas'!$B$6:$B$437,B12)</x:f>
        <x:v>7444163.069999999</x:v>
      </x:c>
      <x:c r="F12" s="17" t="n">
        <x:f>SUMIFS('Vendas'!$J$6:$J$437,'Vendas'!$T$6:$T$437,A12,'Vendas'!$B$6:$B$437,B12)</x:f>
        <x:v>4593332.56</x:v>
      </x:c>
      <x:c r="G12" s="17" t="n">
        <x:f>SUMIFS('Vendas'!$X$6:$X$437,'Vendas'!$T$6:$T$437,A12,'Vendas'!$B$6:$B$437,B12)</x:f>
        <x:v>1593876.8000000003</x:v>
      </x:c>
      <x:c r="H12" s="22" t="n">
        <x:f>IF(E12=0,"",(E12-F12)/E12)</x:f>
        <x:v>0.3829618565838322</x:v>
      </x:c>
      <x:c r="I12" s="22" t="n">
        <x:f>IF(E12=0,"",G12/E12)</x:f>
        <x:v>0.21411094639010916</x:v>
      </x:c>
      <x:c r="J12" s="17" t="n">
        <x:f>IF(D12=0,"",C12/D12)</x:f>
        <x:v>1162.149460798601</x:v>
      </x:c>
      <x:c r="K12" s="17" t="n">
        <x:f>IF(O12=0,"",N12/O12)</x:f>
        <x:v>156.47764013452914</x:v>
      </x:c>
      <x:c r="L12" s="22" t="n">
        <x:f>IF(D12=0,"",P12/D12)</x:f>
        <x:v>0.1732730982220927</x:v>
      </x:c>
      <x:c r="M12" s="23" t="n">
        <x:f>IF(Q12=0,"",100*(R12-S12)/Q12)</x:f>
        <x:v>34.258416742493175</x:v>
      </x:c>
      <x:c r="N12" s="17" t="n">
        <x:f>SUMIFS('Vendas'!$M$6:$M$437,'Vendas'!$T$6:$T$437,A12,'Vendas'!$B$6:$B$437,B12)</x:f>
        <x:v>558312.22</x:v>
      </x:c>
      <x:c r="O12" s="16" t="n">
        <x:f>SUMIFS('Vendas'!$N$6:$N$437,'Vendas'!$T$6:$T$437,A12,'Vendas'!$B$6:$B$437,B12)</x:f>
        <x:v>3568</x:v>
      </x:c>
      <x:c r="P12" s="16" t="n">
        <x:f>SUMIFS('Vendas'!$O$6:$O$437,'Vendas'!$T$6:$T$437,A12,'Vendas'!$B$6:$B$437,B12)</x:f>
        <x:v>1189</x:v>
      </x:c>
      <x:c r="Q12" s="16" t="n">
        <x:f>SUMIFS('Vendas'!$Q$6:$Q$437,'Vendas'!$T$6:$T$437,A12,'Vendas'!$B$6:$B$437,B12)</x:f>
        <x:v>2198</x:v>
      </x:c>
      <x:c r="R12" s="16" t="n">
        <x:f>SUMIFS('Vendas'!$R$6:$R$437,'Vendas'!$T$6:$T$437,A12,'Vendas'!$B$6:$B$437,B12)</x:f>
        <x:v>1233</x:v>
      </x:c>
      <x:c r="S12" s="16" t="n">
        <x:f>SUMIFS('Vendas'!$S$6:$S$437,'Vendas'!$T$6:$T$437,A12,'Vendas'!$B$6:$B$437,B12)</x:f>
        <x:v>480</x:v>
      </x:c>
      <x:c r="T12" s="17" t="n">
        <x:f>SUMIFS('Vendas'!$K$6:$K$437,'Vendas'!$T$6:$T$437,A12,'Vendas'!$B$6:$B$437,B12)</x:f>
        <x:v>519981.5800000001</x:v>
      </x:c>
      <x:c r="U12" s="17" t="n">
        <x:f>SUMIFS('Vendas'!$G$6:$G$437,'Vendas'!$T$6:$T$437,A12,'Vendas'!$B$6:$B$437,B12)</x:f>
        <x:v>331678.92</x:v>
      </x:c>
      <x:c r="V12" s="17" t="n">
        <x:f>SUMIFS('Vendas'!$H$6:$H$437,'Vendas'!$T$6:$T$437,A12,'Vendas'!$B$6:$B$437,B12)</x:f>
        <x:v>198827.61000000002</x:v>
      </x:c>
      <x:c r="W12" s="16" t="n">
        <x:f>SUMIFS('Vendas'!$P$6:$P$437,'Vendas'!$T$6:$T$437,A12,'Vendas'!$B$6:$B$437,B12)</x:f>
        <x:v>225</x:v>
      </x:c>
    </x:row>
    <x:row r="13" ht="24" customHeight="1">
      <x:c r="A13" s="2" t="n">
        <x:v>2025</x:v>
      </x:c>
      <x:c r="B13" s="2" t="str">
        <x:v>Lojas</x:v>
      </x:c>
      <x:c r="C13" s="17" t="n">
        <x:f>SUMIFS('Vendas'!$F$6:$F$437,'Vendas'!$T$6:$T$437,A13,'Vendas'!$B$6:$B$437,B13)</x:f>
        <x:v>6810640.3500000015</x:v>
      </x:c>
      <x:c r="D13" s="16" t="n">
        <x:f>SUMIFS('Vendas'!$E$6:$E$437,'Vendas'!$T$6:$T$437,A13,'Vendas'!$B$6:$B$437,B13)</x:f>
        <x:v>5860</x:v>
      </x:c>
      <x:c r="E13" s="17" t="n">
        <x:f>SUMIFS('Vendas'!$I$6:$I$437,'Vendas'!$T$6:$T$437,A13,'Vendas'!$B$6:$B$437,B13)</x:f>
        <x:v>6357010</x:v>
      </x:c>
      <x:c r="F13" s="17" t="n">
        <x:f>SUMIFS('Vendas'!$J$6:$J$437,'Vendas'!$T$6:$T$437,A13,'Vendas'!$B$6:$B$437,B13)</x:f>
        <x:v>3925836.8699999996</x:v>
      </x:c>
      <x:c r="G13" s="17" t="n">
        <x:f>SUMIFS('Vendas'!$X$6:$X$437,'Vendas'!$T$6:$T$437,A13,'Vendas'!$B$6:$B$437,B13)</x:f>
        <x:v>1853138.4600000004</x:v>
      </x:c>
      <x:c r="H13" s="22" t="n">
        <x:f>IF(E13=0,"",(E13-F13)/E13)</x:f>
        <x:v>0.38243972087506556</x:v>
      </x:c>
      <x:c r="I13" s="22" t="n">
        <x:f>IF(E13=0,"",G13/E13)</x:f>
        <x:v>0.29151101854488204</x:v>
      </x:c>
      <x:c r="J13" s="17" t="n">
        <x:f>IF(D13=0,"",C13/D13)</x:f>
        <x:v>1162.225315699659</x:v>
      </x:c>
      <x:c r="K13" s="17" t="n">
        <x:f>IF(O13=0,"",N13/O13)</x:f>
        <x:v>69.68707673568818</x:v>
      </x:c>
      <x:c r="L13" s="22" t="n">
        <x:f>IF(D13=0,"",P13/D13)</x:f>
        <x:v>0.16023890784982936</x:v>
      </x:c>
      <x:c r="M13" s="23" t="n">
        <x:f>IF(Q13=0,"",100*(R13-S13)/Q13)</x:f>
        <x:v>33.92094017094017</x:v>
      </x:c>
      <x:c r="N13" s="17" t="n">
        <x:f>SUMIFS('Vendas'!$M$6:$M$437,'Vendas'!$T$6:$T$437,A13,'Vendas'!$B$6:$B$437,B13)</x:f>
        <x:v>114426.18</x:v>
      </x:c>
      <x:c r="O13" s="16" t="n">
        <x:f>SUMIFS('Vendas'!$N$6:$N$437,'Vendas'!$T$6:$T$437,A13,'Vendas'!$B$6:$B$437,B13)</x:f>
        <x:v>1642</x:v>
      </x:c>
      <x:c r="P13" s="16" t="n">
        <x:f>SUMIFS('Vendas'!$O$6:$O$437,'Vendas'!$T$6:$T$437,A13,'Vendas'!$B$6:$B$437,B13)</x:f>
        <x:v>939</x:v>
      </x:c>
      <x:c r="Q13" s="16" t="n">
        <x:f>SUMIFS('Vendas'!$Q$6:$Q$437,'Vendas'!$T$6:$T$437,A13,'Vendas'!$B$6:$B$437,B13)</x:f>
        <x:v>1872</x:v>
      </x:c>
      <x:c r="R13" s="16" t="n">
        <x:f>SUMIFS('Vendas'!$R$6:$R$437,'Vendas'!$T$6:$T$437,A13,'Vendas'!$B$6:$B$437,B13)</x:f>
        <x:v>1047</x:v>
      </x:c>
      <x:c r="S13" s="16" t="n">
        <x:f>SUMIFS('Vendas'!$S$6:$S$437,'Vendas'!$T$6:$T$437,A13,'Vendas'!$B$6:$B$437,B13)</x:f>
        <x:v>412</x:v>
      </x:c>
      <x:c r="T13" s="17" t="n">
        <x:f>SUMIFS('Vendas'!$K$6:$K$437,'Vendas'!$T$6:$T$437,A13,'Vendas'!$B$6:$B$437,B13)</x:f>
        <x:v>311040.2900000001</x:v>
      </x:c>
      <x:c r="U13" s="17" t="n">
        <x:f>SUMIFS('Vendas'!$G$6:$G$437,'Vendas'!$T$6:$T$437,A13,'Vendas'!$B$6:$B$437,B13)</x:f>
        <x:v>283559.6599999999</x:v>
      </x:c>
      <x:c r="V13" s="17" t="n">
        <x:f>SUMIFS('Vendas'!$H$6:$H$437,'Vendas'!$T$6:$T$437,A13,'Vendas'!$B$6:$B$437,B13)</x:f>
        <x:v>170070.69000000003</x:v>
      </x:c>
      <x:c r="W13" s="16" t="n">
        <x:f>SUMIFS('Vendas'!$P$6:$P$437,'Vendas'!$T$6:$T$437,A13,'Vendas'!$B$6:$B$437,B13)</x:f>
        <x:v>194</x:v>
      </x:c>
    </x:row>
    <x:row r="14" ht="24" customHeight="1">
      <x:c r="A14" s="2" t="n">
        <x:v>2025</x:v>
      </x:c>
      <x:c r="B14" s="2" t="str">
        <x:v>B2B</x:v>
      </x:c>
      <x:c r="C14" s="17" t="n">
        <x:f>SUMIFS('Vendas'!$F$6:$F$437,'Vendas'!$T$6:$T$437,A14,'Vendas'!$B$6:$B$437,B14)</x:f>
        <x:v>4169480.780000001</x:v>
      </x:c>
      <x:c r="D14" s="16" t="n">
        <x:f>SUMIFS('Vendas'!$E$6:$E$437,'Vendas'!$T$6:$T$437,A14,'Vendas'!$B$6:$B$437,B14)</x:f>
        <x:v>3590</x:v>
      </x:c>
      <x:c r="E14" s="17" t="n">
        <x:f>SUMIFS('Vendas'!$I$6:$I$437,'Vendas'!$T$6:$T$437,A14,'Vendas'!$B$6:$B$437,B14)</x:f>
        <x:v>3892001.78</x:v>
      </x:c>
      <x:c r="F14" s="17" t="n">
        <x:f>SUMIFS('Vendas'!$J$6:$J$437,'Vendas'!$T$6:$T$437,A14,'Vendas'!$B$6:$B$437,B14)</x:f>
        <x:v>2387749.439999999</x:v>
      </x:c>
      <x:c r="G14" s="17" t="n">
        <x:f>SUMIFS('Vendas'!$X$6:$X$437,'Vendas'!$T$6:$T$437,A14,'Vendas'!$B$6:$B$437,B14)</x:f>
        <x:v>1150564.7200000002</x:v>
      </x:c>
      <x:c r="H14" s="22" t="n">
        <x:f>IF(E14=0,"",(E14-F14)/E14)</x:f>
        <x:v>0.38649836897042755</x:v>
      </x:c>
      <x:c r="I14" s="22" t="n">
        <x:f>IF(E14=0,"",G14/E14)</x:f>
        <x:v>0.29562286582510255</x:v>
      </x:c>
      <x:c r="J14" s="17" t="n">
        <x:f>IF(D14=0,"",C14/D14)</x:f>
        <x:v>1161.4152590529252</x:v>
      </x:c>
      <x:c r="K14" s="17" t="n">
        <x:f>IF(O14=0,"",N14/O14)</x:f>
        <x:v>69.70748258706469</x:v>
      </x:c>
      <x:c r="L14" s="22" t="n">
        <x:f>IF(D14=0,"",P14/D14)</x:f>
        <x:v>0.16016713091922005</x:v>
      </x:c>
      <x:c r="M14" s="23" t="n">
        <x:f>IF(Q14=0,"",100*(R14-S14)/Q14)</x:f>
        <x:v>33.79790940766551</x:v>
      </x:c>
      <x:c r="N14" s="17" t="n">
        <x:f>SUMIFS('Vendas'!$M$6:$M$437,'Vendas'!$T$6:$T$437,A14,'Vendas'!$B$6:$B$437,B14)</x:f>
        <x:v>70056.02000000002</x:v>
      </x:c>
      <x:c r="O14" s="16" t="n">
        <x:f>SUMIFS('Vendas'!$N$6:$N$437,'Vendas'!$T$6:$T$437,A14,'Vendas'!$B$6:$B$437,B14)</x:f>
        <x:v>1005</x:v>
      </x:c>
      <x:c r="P14" s="16" t="n">
        <x:f>SUMIFS('Vendas'!$O$6:$O$437,'Vendas'!$T$6:$T$437,A14,'Vendas'!$B$6:$B$437,B14)</x:f>
        <x:v>575</x:v>
      </x:c>
      <x:c r="Q14" s="16" t="n">
        <x:f>SUMIFS('Vendas'!$Q$6:$Q$437,'Vendas'!$T$6:$T$437,A14,'Vendas'!$B$6:$B$437,B14)</x:f>
        <x:v>1148</x:v>
      </x:c>
      <x:c r="R14" s="16" t="n">
        <x:f>SUMIFS('Vendas'!$R$6:$R$437,'Vendas'!$T$6:$T$437,A14,'Vendas'!$B$6:$B$437,B14)</x:f>
        <x:v>644</x:v>
      </x:c>
      <x:c r="S14" s="16" t="n">
        <x:f>SUMIFS('Vendas'!$S$6:$S$437,'Vendas'!$T$6:$T$437,A14,'Vendas'!$B$6:$B$437,B14)</x:f>
        <x:v>256</x:v>
      </x:c>
      <x:c r="T14" s="17" t="n">
        <x:f>SUMIFS('Vendas'!$K$6:$K$437,'Vendas'!$T$6:$T$437,A14,'Vendas'!$B$6:$B$437,B14)</x:f>
        <x:v>190223.55999999997</x:v>
      </x:c>
      <x:c r="U14" s="17" t="n">
        <x:f>SUMIFS('Vendas'!$G$6:$G$437,'Vendas'!$T$6:$T$437,A14,'Vendas'!$B$6:$B$437,B14)</x:f>
        <x:v>173472.35999999996</x:v>
      </x:c>
      <x:c r="V14" s="17" t="n">
        <x:f>SUMIFS('Vendas'!$H$6:$H$437,'Vendas'!$T$6:$T$437,A14,'Vendas'!$B$6:$B$437,B14)</x:f>
        <x:v>104006.63999999998</x:v>
      </x:c>
      <x:c r="W14" s="16" t="n">
        <x:f>SUMIFS('Vendas'!$P$6:$P$437,'Vendas'!$T$6:$T$437,A14,'Vendas'!$B$6:$B$437,B14)</x:f>
        <x:v>121</x:v>
      </x:c>
    </x:row>
  </x:sheetData>
  <x:pageMargins left="0.7" right="0.7" top="0.75" bottom="0.75" header="0.3" footer="0.3"/>
  <x:tableParts count="1">
    <x:tablePart xmlns:r="http://schemas.openxmlformats.org/officeDocument/2006/relationships" r:id="Rc86f57851f184496"/>
  </x:tableParts>
</x:worksheet>
</file>

<file path=xl/worksheets/sheet8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7" hidden="0" customWidth="1"/>
    <x:col min="2" max="2" width="17" hidden="0" customWidth="1"/>
    <x:col min="3" max="3" width="23" hidden="0" customWidth="1"/>
    <x:col min="4" max="4" width="23" hidden="0" customWidth="1"/>
    <x:col min="5" max="5" width="23" hidden="0" customWidth="1"/>
    <x:col min="6" max="6" width="23" hidden="0" customWidth="1"/>
    <x:col min="7" max="7" width="23" hidden="0" customWidth="1"/>
    <x:col min="8" max="8" width="23" hidden="0" customWidth="1"/>
    <x:col min="9" max="9" width="23" hidden="0" customWidth="1"/>
    <x:col min="10" max="10" width="23" hidden="0" customWidth="1"/>
    <x:col min="11" max="11" width="23" hidden="0" customWidth="1"/>
    <x:col min="12" max="12" width="23" hidden="0" customWidth="1"/>
    <x:col min="13" max="13" width="23" hidden="0" customWidth="1"/>
    <x:col min="14" max="14" width="23" hidden="0" customWidth="1"/>
    <x:col min="15" max="15" width="23" hidden="0" customWidth="1"/>
    <x:col min="16" max="16" width="23" hidden="0" customWidth="1"/>
    <x:col min="17" max="17" width="23" hidden="0" customWidth="1"/>
    <x:col min="18" max="18" width="23" hidden="0" customWidth="1"/>
    <x:col min="19" max="19" width="23" hidden="0" customWidth="1"/>
    <x:col min="20" max="20" width="23" hidden="0" customWidth="1"/>
    <x:col min="21" max="21" width="23" hidden="0" customWidth="1"/>
    <x:col min="22" max="22" width="23" hidden="0" customWidth="1"/>
    <x:col min="23" max="23" width="23" hidden="0" customWidth="1"/>
  </x:cols>
  <x:sheetData>
    <x:row r="1" ht="32" customHeight="1">
      <x:c r="A1" s="4" t="str">
        <x:v>Comparativo por região</x:v>
      </x:c>
      <x:c r="B1" s="1"/>
      <x:c r="C1" s="1"/>
      <x:c r="D1" s="1"/>
      <x:c r="E1" s="1"/>
      <x:c r="F1" s="1"/>
      <x:c r="G1" s="1"/>
      <x:c r="H1" s="1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</x:row>
    <x:row r="2" ht="22" customHeight="1">
      <x:c r="A2" s="5" t="str">
        <x:v>NC-2026.1 · valores em reais · taxas recalculadas pelos totais do recorte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  <x:c r="M2" s="1"/>
      <x:c r="N2" s="1"/>
      <x:c r="O2" s="1"/>
      <x:c r="P2" s="1"/>
      <x:c r="Q2" s="1"/>
      <x:c r="R2" s="1"/>
      <x:c r="S2" s="1"/>
      <x:c r="T2" s="1"/>
      <x:c r="U2" s="1"/>
      <x:c r="V2" s="1"/>
      <x:c r="W2" s="1"/>
    </x:row>
    <x:row r="3" ht="10" customHeight="1">
      <x:c r="A3" s="3"/>
      <x:c r="B3" s="3"/>
      <x:c r="C3" s="3"/>
      <x:c r="D3" s="3"/>
      <x:c r="E3" s="3"/>
      <x:c r="F3" s="3"/>
      <x:c r="G3" s="3"/>
      <x:c r="H3" s="3"/>
      <x:c r="I3" s="3"/>
      <x:c r="J3" s="3"/>
      <x:c r="K3" s="3"/>
      <x:c r="L3" s="3"/>
      <x:c r="M3" s="3"/>
      <x:c r="N3" s="3"/>
      <x:c r="O3" s="3"/>
      <x:c r="P3" s="3"/>
      <x:c r="Q3" s="3"/>
      <x:c r="R3" s="3"/>
      <x:c r="S3" s="3"/>
      <x:c r="T3" s="3"/>
      <x:c r="U3" s="3"/>
      <x:c r="V3" s="3"/>
      <x:c r="W3" s="3"/>
    </x:row>
    <x:row r="4" ht="10" customHeight="1">
      <x:c r="A4" s="1"/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  <x:c r="M4" s="1"/>
      <x:c r="N4" s="1"/>
      <x:c r="O4" s="1"/>
      <x:c r="P4" s="1"/>
      <x:c r="Q4" s="1"/>
      <x:c r="R4" s="1"/>
      <x:c r="S4" s="1"/>
      <x:c r="T4" s="1"/>
      <x:c r="U4" s="1"/>
      <x:c r="V4" s="1"/>
      <x:c r="W4" s="1"/>
    </x:row>
    <x:row r="5" ht="46" customHeight="1">
      <x:c r="A5" s="11" t="str">
        <x:v>ano</x:v>
      </x:c>
      <x:c r="B5" s="12" t="str">
        <x:v>regiao</x:v>
      </x:c>
      <x:c r="C5" s="12" t="str">
        <x:v>receita_bruta</x:v>
      </x:c>
      <x:c r="D5" s="12" t="str">
        <x:v>pedidos</x:v>
      </x:c>
      <x:c r="E5" s="12" t="str">
        <x:v>receita_liquida</x:v>
      </x:c>
      <x:c r="F5" s="12" t="str">
        <x:v>cmv</x:v>
      </x:c>
      <x:c r="G5" s="12" t="str">
        <x:v>contribuicao_valor</x:v>
      </x:c>
      <x:c r="H5" s="12" t="str">
        <x:v>margem_bruta_pct</x:v>
      </x:c>
      <x:c r="I5" s="12" t="str">
        <x:v>contribuicao_pct</x:v>
      </x:c>
      <x:c r="J5" s="12" t="str">
        <x:v>ticket_bruto</x:v>
      </x:c>
      <x:c r="K5" s="12" t="str">
        <x:v>cac_gerencial</x:v>
      </x:c>
      <x:c r="L5" s="12" t="str">
        <x:v>taxa_atraso</x:v>
      </x:c>
      <x:c r="M5" s="12" t="str">
        <x:v>nps</x:v>
      </x:c>
      <x:c r="N5" s="12" t="str">
        <x:v>marketing_investimento</x:v>
      </x:c>
      <x:c r="O5" s="12" t="str">
        <x:v>novos_clientes</x:v>
      </x:c>
      <x:c r="P5" s="12" t="str">
        <x:v>pedidos_atrasados</x:v>
      </x:c>
      <x:c r="Q5" s="12" t="str">
        <x:v>respostas_nps</x:v>
      </x:c>
      <x:c r="R5" s="12" t="str">
        <x:v>promotores_nps</x:v>
      </x:c>
      <x:c r="S5" s="12" t="str">
        <x:v>detratores_nps</x:v>
      </x:c>
      <x:c r="T5" s="12" t="str">
        <x:v>frete_custo</x:v>
      </x:c>
      <x:c r="U5" s="12" t="str">
        <x:v>descontos</x:v>
      </x:c>
      <x:c r="V5" s="12" t="str">
        <x:v>devolucoes_valor</x:v>
      </x:c>
      <x:c r="W5" s="13" t="str">
        <x:v>devolucoes_pedidos</x:v>
      </x:c>
    </x:row>
    <x:row r="6" ht="24" customHeight="1">
      <x:c r="A6" s="2" t="n">
        <x:v>2023</x:v>
      </x:c>
      <x:c r="B6" s="2" t="str">
        <x:v>Sudeste</x:v>
      </x:c>
      <x:c r="C6" s="17" t="n">
        <x:f>SUMIFS('Vendas'!$F$6:$F$437,'Vendas'!$T$6:$T$437,A6,'Vendas'!$C$6:$C$437,B6)</x:f>
        <x:v>5173207.530000001</x:v>
      </x:c>
      <x:c r="D6" s="16" t="n">
        <x:f>SUMIFS('Vendas'!$E$6:$E$437,'Vendas'!$T$6:$T$437,A6,'Vendas'!$C$6:$C$437,B6)</x:f>
        <x:v>4452</x:v>
      </x:c>
      <x:c r="E6" s="17" t="n">
        <x:f>SUMIFS('Vendas'!$I$6:$I$437,'Vendas'!$T$6:$T$437,A6,'Vendas'!$C$6:$C$437,B6)</x:f>
        <x:v>4959452.900000001</x:v>
      </x:c>
      <x:c r="F6" s="17" t="n">
        <x:f>SUMIFS('Vendas'!$J$6:$J$437,'Vendas'!$T$6:$T$437,A6,'Vendas'!$C$6:$C$437,B6)</x:f>
        <x:v>2645541.7099999995</x:v>
      </x:c>
      <x:c r="G6" s="17" t="n">
        <x:f>SUMIFS('Vendas'!$X$6:$X$437,'Vendas'!$T$6:$T$437,A6,'Vendas'!$C$6:$C$437,B6)</x:f>
        <x:v>1821917.8299999998</x:v>
      </x:c>
      <x:c r="H6" s="22" t="n">
        <x:f>IF(E6=0,"",(E6-F6)/E6)</x:f>
        <x:v>0.4665658161608917</x:v>
      </x:c>
      <x:c r="I6" s="22" t="n">
        <x:f>IF(E6=0,"",G6/E6)</x:f>
        <x:v>0.367362664135796</x:v>
      </x:c>
      <x:c r="J6" s="17" t="n">
        <x:f>IF(D6=0,"",C6/D6)</x:f>
        <x:v>1161.996300539084</x:v>
      </x:c>
      <x:c r="K6" s="17" t="n">
        <x:f>IF(O6=0,"",N6/O6)</x:f>
        <x:v>122.01193605683841</x:v>
      </x:c>
      <x:c r="L6" s="22" t="n">
        <x:f>IF(D6=0,"",P6/D6)</x:f>
        <x:v>0.06446540880503145</x:v>
      </x:c>
      <x:c r="M6" s="23" t="n">
        <x:f>IF(Q6=0,"",100*(R6-S6)/Q6)</x:f>
        <x:v>58.186929023190444</x:v>
      </x:c>
      <x:c r="N6" s="17" t="n">
        <x:f>SUMIFS('Vendas'!$M$6:$M$437,'Vendas'!$T$6:$T$437,A6,'Vendas'!$C$6:$C$437,B6)</x:f>
        <x:v>206078.16000000006</x:v>
      </x:c>
      <x:c r="O6" s="16" t="n">
        <x:f>SUMIFS('Vendas'!$N$6:$N$437,'Vendas'!$T$6:$T$437,A6,'Vendas'!$C$6:$C$437,B6)</x:f>
        <x:v>1689</x:v>
      </x:c>
      <x:c r="P6" s="16" t="n">
        <x:f>SUMIFS('Vendas'!$O$6:$O$437,'Vendas'!$T$6:$T$437,A6,'Vendas'!$C$6:$C$437,B6)</x:f>
        <x:v>287</x:v>
      </x:c>
      <x:c r="Q6" s="16" t="n">
        <x:f>SUMIFS('Vendas'!$Q$6:$Q$437,'Vendas'!$T$6:$T$437,A6,'Vendas'!$C$6:$C$437,B6)</x:f>
        <x:v>1423</x:v>
      </x:c>
      <x:c r="R6" s="16" t="n">
        <x:f>SUMIFS('Vendas'!$R$6:$R$437,'Vendas'!$T$6:$T$437,A6,'Vendas'!$C$6:$C$437,B6)</x:f>
        <x:v>1004</x:v>
      </x:c>
      <x:c r="S6" s="16" t="n">
        <x:f>SUMIFS('Vendas'!$S$6:$S$437,'Vendas'!$T$6:$T$437,A6,'Vendas'!$C$6:$C$437,B6)</x:f>
        <x:v>176</x:v>
      </x:c>
      <x:c r="T6" s="17" t="n">
        <x:f>SUMIFS('Vendas'!$K$6:$K$437,'Vendas'!$T$6:$T$437,A6,'Vendas'!$C$6:$C$437,B6)</x:f>
        <x:v>166888.34</x:v>
      </x:c>
      <x:c r="U6" s="17" t="n">
        <x:f>SUMIFS('Vendas'!$G$6:$G$437,'Vendas'!$T$6:$T$437,A6,'Vendas'!$C$6:$C$437,B6)</x:f>
        <x:v>146536.68000000002</x:v>
      </x:c>
      <x:c r="V6" s="17" t="n">
        <x:f>SUMIFS('Vendas'!$H$6:$H$437,'Vendas'!$T$6:$T$437,A6,'Vendas'!$C$6:$C$437,B6)</x:f>
        <x:v>67217.95</x:v>
      </x:c>
      <x:c r="W6" s="16" t="n">
        <x:f>SUMIFS('Vendas'!$P$6:$P$437,'Vendas'!$T$6:$T$437,A6,'Vendas'!$C$6:$C$437,B6)</x:f>
        <x:v>97</x:v>
      </x:c>
    </x:row>
    <x:row r="7" ht="24" customHeight="1">
      <x:c r="A7" s="2" t="n">
        <x:v>2023</x:v>
      </x:c>
      <x:c r="B7" s="2" t="str">
        <x:v>Nordeste</x:v>
      </x:c>
      <x:c r="C7" s="17" t="n">
        <x:f>SUMIFS('Vendas'!$F$6:$F$437,'Vendas'!$T$6:$T$437,A7,'Vendas'!$C$6:$C$437,B7)</x:f>
        <x:v>3421719.0200000005</x:v>
      </x:c>
      <x:c r="D7" s="16" t="n">
        <x:f>SUMIFS('Vendas'!$E$6:$E$437,'Vendas'!$T$6:$T$437,A7,'Vendas'!$C$6:$C$437,B7)</x:f>
        <x:v>2946</x:v>
      </x:c>
      <x:c r="E7" s="17" t="n">
        <x:f>SUMIFS('Vendas'!$I$6:$I$437,'Vendas'!$T$6:$T$437,A7,'Vendas'!$C$6:$C$437,B7)</x:f>
        <x:v>3280313.53</x:v>
      </x:c>
      <x:c r="F7" s="17" t="n">
        <x:f>SUMIFS('Vendas'!$J$6:$J$437,'Vendas'!$T$6:$T$437,A7,'Vendas'!$C$6:$C$437,B7)</x:f>
        <x:v>1737469.9999999998</x:v>
      </x:c>
      <x:c r="G7" s="17" t="n">
        <x:f>SUMIFS('Vendas'!$X$6:$X$437,'Vendas'!$T$6:$T$437,A7,'Vendas'!$C$6:$C$437,B7)</x:f>
        <x:v>1213577.6500000004</x:v>
      </x:c>
      <x:c r="H7" s="22" t="n">
        <x:f>IF(E7=0,"",(E7-F7)/E7)</x:f>
        <x:v>0.4703341665026758</x:v>
      </x:c>
      <x:c r="I7" s="22" t="n">
        <x:f>IF(E7=0,"",G7/E7)</x:f>
        <x:v>0.36995782229389534</x:v>
      </x:c>
      <x:c r="J7" s="17" t="n">
        <x:f>IF(D7=0,"",C7/D7)</x:f>
        <x:v>1161.4796401900885</x:v>
      </x:c>
      <x:c r="K7" s="17" t="n">
        <x:f>IF(O7=0,"",N7/O7)</x:f>
        <x:v>122.99140583554376</x:v>
      </x:c>
      <x:c r="L7" s="22" t="n">
        <x:f>IF(D7=0,"",P7/D7)</x:f>
        <x:v>0.06449422946367957</x:v>
      </x:c>
      <x:c r="M7" s="23" t="n">
        <x:f>IF(Q7=0,"",100*(R7-S7)/Q7)</x:f>
        <x:v>58.430540827147404</x:v>
      </x:c>
      <x:c r="N7" s="17" t="n">
        <x:f>SUMIFS('Vendas'!$M$6:$M$437,'Vendas'!$T$6:$T$437,A7,'Vendas'!$C$6:$C$437,B7)</x:f>
        <x:v>139103.28</x:v>
      </x:c>
      <x:c r="O7" s="16" t="n">
        <x:f>SUMIFS('Vendas'!$N$6:$N$437,'Vendas'!$T$6:$T$437,A7,'Vendas'!$C$6:$C$437,B7)</x:f>
        <x:v>1131</x:v>
      </x:c>
      <x:c r="P7" s="16" t="n">
        <x:f>SUMIFS('Vendas'!$O$6:$O$437,'Vendas'!$T$6:$T$437,A7,'Vendas'!$C$6:$C$437,B7)</x:f>
        <x:v>190</x:v>
      </x:c>
      <x:c r="Q7" s="16" t="n">
        <x:f>SUMIFS('Vendas'!$Q$6:$Q$437,'Vendas'!$T$6:$T$437,A7,'Vendas'!$C$6:$C$437,B7)</x:f>
        <x:v>943</x:v>
      </x:c>
      <x:c r="R7" s="16" t="n">
        <x:f>SUMIFS('Vendas'!$R$6:$R$437,'Vendas'!$T$6:$T$437,A7,'Vendas'!$C$6:$C$437,B7)</x:f>
        <x:v>665</x:v>
      </x:c>
      <x:c r="S7" s="16" t="n">
        <x:f>SUMIFS('Vendas'!$S$6:$S$437,'Vendas'!$T$6:$T$437,A7,'Vendas'!$C$6:$C$437,B7)</x:f>
        <x:v>114</x:v>
      </x:c>
      <x:c r="T7" s="17" t="n">
        <x:f>SUMIFS('Vendas'!$K$6:$K$437,'Vendas'!$T$6:$T$437,A7,'Vendas'!$C$6:$C$437,B7)</x:f>
        <x:v>111435.06999999999</x:v>
      </x:c>
      <x:c r="U7" s="17" t="n">
        <x:f>SUMIFS('Vendas'!$G$6:$G$437,'Vendas'!$T$6:$T$437,A7,'Vendas'!$C$6:$C$437,B7)</x:f>
        <x:v>96935.25</x:v>
      </x:c>
      <x:c r="V7" s="17" t="n">
        <x:f>SUMIFS('Vendas'!$H$6:$H$437,'Vendas'!$T$6:$T$437,A7,'Vendas'!$C$6:$C$437,B7)</x:f>
        <x:v>44470.240000000005</x:v>
      </x:c>
      <x:c r="W7" s="16" t="n">
        <x:f>SUMIFS('Vendas'!$P$6:$P$437,'Vendas'!$T$6:$T$437,A7,'Vendas'!$C$6:$C$437,B7)</x:f>
        <x:v>63</x:v>
      </x:c>
    </x:row>
    <x:row r="8" ht="24" customHeight="1">
      <x:c r="A8" s="2" t="n">
        <x:v>2023</x:v>
      </x:c>
      <x:c r="B8" s="2" t="str">
        <x:v>Sul</x:v>
      </x:c>
      <x:c r="C8" s="17" t="n">
        <x:f>SUMIFS('Vendas'!$F$6:$F$437,'Vendas'!$T$6:$T$437,A8,'Vendas'!$C$6:$C$437,B8)</x:f>
        <x:v>2691585.81</x:v>
      </x:c>
      <x:c r="D8" s="16" t="n">
        <x:f>SUMIFS('Vendas'!$E$6:$E$437,'Vendas'!$T$6:$T$437,A8,'Vendas'!$C$6:$C$437,B8)</x:f>
        <x:v>2316</x:v>
      </x:c>
      <x:c r="E8" s="17" t="n">
        <x:f>SUMIFS('Vendas'!$I$6:$I$437,'Vendas'!$T$6:$T$437,A8,'Vendas'!$C$6:$C$437,B8)</x:f>
        <x:v>2580303.6299999994</x:v>
      </x:c>
      <x:c r="F8" s="17" t="n">
        <x:f>SUMIFS('Vendas'!$J$6:$J$437,'Vendas'!$T$6:$T$437,A8,'Vendas'!$C$6:$C$437,B8)</x:f>
        <x:v>1361391.0299999998</x:v>
      </x:c>
      <x:c r="G8" s="17" t="n">
        <x:f>SUMIFS('Vendas'!$X$6:$X$437,'Vendas'!$T$6:$T$437,A8,'Vendas'!$C$6:$C$437,B8)</x:f>
        <x:v>962015.1600000001</x:v>
      </x:c>
      <x:c r="H8" s="22" t="n">
        <x:f>IF(E8=0,"",(E8-F8)/E8)</x:f>
        <x:v>0.47239115033915596</x:v>
      </x:c>
      <x:c r="I8" s="22" t="n">
        <x:f>IF(E8=0,"",G8/E8)</x:f>
        <x:v>0.372830216109102</x:v>
      </x:c>
      <x:c r="J8" s="17" t="n">
        <x:f>IF(D8=0,"",C8/D8)</x:f>
        <x:v>1162.1700388601037</x:v>
      </x:c>
      <x:c r="K8" s="17" t="n">
        <x:f>IF(O8=0,"",N8/O8)</x:f>
        <x:v>122.55542045454546</x:v>
      </x:c>
      <x:c r="L8" s="22" t="n">
        <x:f>IF(D8=0,"",P8/D8)</x:f>
        <x:v>0.06347150259067358</x:v>
      </x:c>
      <x:c r="M8" s="23" t="n">
        <x:f>IF(Q8=0,"",100*(R8-S8)/Q8)</x:f>
        <x:v>58.02968960863698</x:v>
      </x:c>
      <x:c r="N8" s="17" t="n">
        <x:f>SUMIFS('Vendas'!$M$6:$M$437,'Vendas'!$T$6:$T$437,A8,'Vendas'!$C$6:$C$437,B8)</x:f>
        <x:v>107848.77</x:v>
      </x:c>
      <x:c r="O8" s="16" t="n">
        <x:f>SUMIFS('Vendas'!$N$6:$N$437,'Vendas'!$T$6:$T$437,A8,'Vendas'!$C$6:$C$437,B8)</x:f>
        <x:v>880</x:v>
      </x:c>
      <x:c r="P8" s="16" t="n">
        <x:f>SUMIFS('Vendas'!$O$6:$O$437,'Vendas'!$T$6:$T$437,A8,'Vendas'!$C$6:$C$437,B8)</x:f>
        <x:v>147</x:v>
      </x:c>
      <x:c r="Q8" s="16" t="n">
        <x:f>SUMIFS('Vendas'!$Q$6:$Q$437,'Vendas'!$T$6:$T$437,A8,'Vendas'!$C$6:$C$437,B8)</x:f>
        <x:v>741</x:v>
      </x:c>
      <x:c r="R8" s="16" t="n">
        <x:f>SUMIFS('Vendas'!$R$6:$R$437,'Vendas'!$T$6:$T$437,A8,'Vendas'!$C$6:$C$437,B8)</x:f>
        <x:v>521</x:v>
      </x:c>
      <x:c r="S8" s="16" t="n">
        <x:f>SUMIFS('Vendas'!$S$6:$S$437,'Vendas'!$T$6:$T$437,A8,'Vendas'!$C$6:$C$437,B8)</x:f>
        <x:v>91</x:v>
      </x:c>
      <x:c r="T8" s="17" t="n">
        <x:f>SUMIFS('Vendas'!$K$6:$K$437,'Vendas'!$T$6:$T$437,A8,'Vendas'!$C$6:$C$437,B8)</x:f>
        <x:v>87121.4</x:v>
      </x:c>
      <x:c r="U8" s="17" t="n">
        <x:f>SUMIFS('Vendas'!$G$6:$G$437,'Vendas'!$T$6:$T$437,A8,'Vendas'!$C$6:$C$437,B8)</x:f>
        <x:v>76277.37999999999</x:v>
      </x:c>
      <x:c r="V8" s="17" t="n">
        <x:f>SUMIFS('Vendas'!$H$6:$H$437,'Vendas'!$T$6:$T$437,A8,'Vendas'!$C$6:$C$437,B8)</x:f>
        <x:v>35004.8</x:v>
      </x:c>
      <x:c r="W8" s="16" t="n">
        <x:f>SUMIFS('Vendas'!$P$6:$P$437,'Vendas'!$T$6:$T$437,A8,'Vendas'!$C$6:$C$437,B8)</x:f>
        <x:v>46</x:v>
      </x:c>
    </x:row>
    <x:row r="9" ht="24" customHeight="1">
      <x:c r="A9" s="2" t="n">
        <x:v>2023</x:v>
      </x:c>
      <x:c r="B9" s="2" t="str">
        <x:v>Centro-Oeste</x:v>
      </x:c>
      <x:c r="C9" s="17" t="n">
        <x:f>SUMIFS('Vendas'!$F$6:$F$437,'Vendas'!$T$6:$T$437,A9,'Vendas'!$C$6:$C$437,B9)</x:f>
        <x:v>2181676.9200000004</x:v>
      </x:c>
      <x:c r="D9" s="16" t="n">
        <x:f>SUMIFS('Vendas'!$E$6:$E$437,'Vendas'!$T$6:$T$437,A9,'Vendas'!$C$6:$C$437,B9)</x:f>
        <x:v>1878</x:v>
      </x:c>
      <x:c r="E9" s="17" t="n">
        <x:f>SUMIFS('Vendas'!$I$6:$I$437,'Vendas'!$T$6:$T$437,A9,'Vendas'!$C$6:$C$437,B9)</x:f>
        <x:v>2091734.53</x:v>
      </x:c>
      <x:c r="F9" s="17" t="n">
        <x:f>SUMIFS('Vendas'!$J$6:$J$437,'Vendas'!$T$6:$T$437,A9,'Vendas'!$C$6:$C$437,B9)</x:f>
        <x:v>1119610.0400000003</x:v>
      </x:c>
      <x:c r="G9" s="17" t="n">
        <x:f>SUMIFS('Vendas'!$X$6:$X$437,'Vendas'!$T$6:$T$437,A9,'Vendas'!$C$6:$C$437,B9)</x:f>
        <x:v>765513.1000000002</x:v>
      </x:c>
      <x:c r="H9" s="22" t="n">
        <x:f>IF(E9=0,"",(E9-F9)/E9)</x:f>
        <x:v>0.4647456338544068</x:v>
      </x:c>
      <x:c r="I9" s="22" t="n">
        <x:f>IF(E9=0,"",G9/E9)</x:f>
        <x:v>0.3659704847918728</x:v>
      </x:c>
      <x:c r="J9" s="17" t="n">
        <x:f>IF(D9=0,"",C9/D9)</x:f>
        <x:v>1161.702300319489</x:v>
      </x:c>
      <x:c r="K9" s="17" t="n">
        <x:f>IF(O9=0,"",N9/O9)</x:f>
        <x:v>121.51597749648379</x:v>
      </x:c>
      <x:c r="L9" s="22" t="n">
        <x:f>IF(D9=0,"",P9/D9)</x:f>
        <x:v>0.06389776357827476</x:v>
      </x:c>
      <x:c r="M9" s="23" t="n">
        <x:f>IF(Q9=0,"",100*(R9-S9)/Q9)</x:f>
        <x:v>58.11258278145695</x:v>
      </x:c>
      <x:c r="N9" s="17" t="n">
        <x:f>SUMIFS('Vendas'!$M$6:$M$437,'Vendas'!$T$6:$T$437,A9,'Vendas'!$C$6:$C$437,B9)</x:f>
        <x:v>86397.85999999997</x:v>
      </x:c>
      <x:c r="O9" s="16" t="n">
        <x:f>SUMIFS('Vendas'!$N$6:$N$437,'Vendas'!$T$6:$T$437,A9,'Vendas'!$C$6:$C$437,B9)</x:f>
        <x:v>711</x:v>
      </x:c>
      <x:c r="P9" s="16" t="n">
        <x:f>SUMIFS('Vendas'!$O$6:$O$437,'Vendas'!$T$6:$T$437,A9,'Vendas'!$C$6:$C$437,B9)</x:f>
        <x:v>120</x:v>
      </x:c>
      <x:c r="Q9" s="16" t="n">
        <x:f>SUMIFS('Vendas'!$Q$6:$Q$437,'Vendas'!$T$6:$T$437,A9,'Vendas'!$C$6:$C$437,B9)</x:f>
        <x:v>604</x:v>
      </x:c>
      <x:c r="R9" s="16" t="n">
        <x:f>SUMIFS('Vendas'!$R$6:$R$437,'Vendas'!$T$6:$T$437,A9,'Vendas'!$C$6:$C$437,B9)</x:f>
        <x:v>427</x:v>
      </x:c>
      <x:c r="S9" s="16" t="n">
        <x:f>SUMIFS('Vendas'!$S$6:$S$437,'Vendas'!$T$6:$T$437,A9,'Vendas'!$C$6:$C$437,B9)</x:f>
        <x:v>76</x:v>
      </x:c>
      <x:c r="T9" s="17" t="n">
        <x:f>SUMIFS('Vendas'!$K$6:$K$437,'Vendas'!$T$6:$T$437,A9,'Vendas'!$C$6:$C$437,B9)</x:f>
        <x:v>70011.9</x:v>
      </x:c>
      <x:c r="U9" s="17" t="n">
        <x:f>SUMIFS('Vendas'!$G$6:$G$437,'Vendas'!$T$6:$T$437,A9,'Vendas'!$C$6:$C$437,B9)</x:f>
        <x:v>61691.21</x:v>
      </x:c>
      <x:c r="V9" s="17" t="n">
        <x:f>SUMIFS('Vendas'!$H$6:$H$437,'Vendas'!$T$6:$T$437,A9,'Vendas'!$C$6:$C$437,B9)</x:f>
        <x:v>28251.179999999997</x:v>
      </x:c>
      <x:c r="W9" s="16" t="n">
        <x:f>SUMIFS('Vendas'!$P$6:$P$437,'Vendas'!$T$6:$T$437,A9,'Vendas'!$C$6:$C$437,B9)</x:f>
        <x:v>39</x:v>
      </x:c>
    </x:row>
    <x:row r="10" ht="24" customHeight="1">
      <x:c r="A10" s="2" t="n">
        <x:v>2024</x:v>
      </x:c>
      <x:c r="B10" s="2" t="str">
        <x:v>Sudeste</x:v>
      </x:c>
      <x:c r="C10" s="17" t="n">
        <x:f>SUMIFS('Vendas'!$F$6:$F$437,'Vendas'!$T$6:$T$437,A10,'Vendas'!$C$6:$C$437,B10)</x:f>
        <x:v>6114923.9</x:v>
      </x:c>
      <x:c r="D10" s="16" t="n">
        <x:f>SUMIFS('Vendas'!$E$6:$E$437,'Vendas'!$T$6:$T$437,A10,'Vendas'!$C$6:$C$437,B10)</x:f>
        <x:v>5259</x:v>
      </x:c>
      <x:c r="E10" s="17" t="n">
        <x:f>SUMIFS('Vendas'!$I$6:$I$437,'Vendas'!$T$6:$T$437,A10,'Vendas'!$C$6:$C$437,B10)</x:f>
        <x:v>5784929.12</x:v>
      </x:c>
      <x:c r="F10" s="17" t="n">
        <x:f>SUMIFS('Vendas'!$J$6:$J$437,'Vendas'!$T$6:$T$437,A10,'Vendas'!$C$6:$C$437,B10)</x:f>
        <x:v>3294853.8500000006</x:v>
      </x:c>
      <x:c r="G10" s="17" t="n">
        <x:f>SUMIFS('Vendas'!$X$6:$X$437,'Vendas'!$T$6:$T$437,A10,'Vendas'!$C$6:$C$437,B10)</x:f>
        <x:v>1845390.62</x:v>
      </x:c>
      <x:c r="H10" s="22" t="n">
        <x:f>IF(E10=0,"",(E10-F10)/E10)</x:f>
        <x:v>0.4304417942462188</x:v>
      </x:c>
      <x:c r="I10" s="22" t="n">
        <x:f>IF(E10=0,"",G10/E10)</x:f>
        <x:v>0.3189996941570133</x:v>
      </x:c>
      <x:c r="J10" s="17" t="n">
        <x:f>IF(D10=0,"",C10/D10)</x:f>
        <x:v>1162.7541167522343</x:v>
      </x:c>
      <x:c r="K10" s="17" t="n">
        <x:f>IF(O10=0,"",N10/O10)</x:f>
        <x:v>121.09982948846537</x:v>
      </x:c>
      <x:c r="L10" s="22" t="n">
        <x:f>IF(D10=0,"",P10/D10)</x:f>
        <x:v>0.11161817836090511</x:v>
      </x:c>
      <x:c r="M10" s="23" t="n">
        <x:f>IF(Q10=0,"",100*(R10-S10)/Q10)</x:f>
        <x:v>45.95719381688466</x:v>
      </x:c>
      <x:c r="N10" s="17" t="n">
        <x:f>SUMIFS('Vendas'!$M$6:$M$437,'Vendas'!$T$6:$T$437,A10,'Vendas'!$C$6:$C$437,B10)</x:f>
        <x:v>241473.05999999997</x:v>
      </x:c>
      <x:c r="O10" s="16" t="n">
        <x:f>SUMIFS('Vendas'!$N$6:$N$437,'Vendas'!$T$6:$T$437,A10,'Vendas'!$C$6:$C$437,B10)</x:f>
        <x:v>1994</x:v>
      </x:c>
      <x:c r="P10" s="16" t="n">
        <x:f>SUMIFS('Vendas'!$O$6:$O$437,'Vendas'!$T$6:$T$437,A10,'Vendas'!$C$6:$C$437,B10)</x:f>
        <x:v>587</x:v>
      </x:c>
      <x:c r="Q10" s="16" t="n">
        <x:f>SUMIFS('Vendas'!$Q$6:$Q$437,'Vendas'!$T$6:$T$437,A10,'Vendas'!$C$6:$C$437,B10)</x:f>
        <x:v>1682</x:v>
      </x:c>
      <x:c r="R10" s="16" t="n">
        <x:f>SUMIFS('Vendas'!$R$6:$R$437,'Vendas'!$T$6:$T$437,A10,'Vendas'!$C$6:$C$437,B10)</x:f>
        <x:v>1062</x:v>
      </x:c>
      <x:c r="S10" s="16" t="n">
        <x:f>SUMIFS('Vendas'!$S$6:$S$437,'Vendas'!$T$6:$T$437,A10,'Vendas'!$C$6:$C$437,B10)</x:f>
        <x:v>289</x:v>
      </x:c>
      <x:c r="T10" s="17" t="n">
        <x:f>SUMIFS('Vendas'!$K$6:$K$437,'Vendas'!$T$6:$T$437,A10,'Vendas'!$C$6:$C$437,B10)</x:f>
        <x:v>264373.3</x:v>
      </x:c>
      <x:c r="U10" s="17" t="n">
        <x:f>SUMIFS('Vendas'!$G$6:$G$437,'Vendas'!$T$6:$T$437,A10,'Vendas'!$C$6:$C$437,B10)</x:f>
        <x:v>213911.23999999996</x:v>
      </x:c>
      <x:c r="V10" s="17" t="n">
        <x:f>SUMIFS('Vendas'!$H$6:$H$437,'Vendas'!$T$6:$T$437,A10,'Vendas'!$C$6:$C$437,B10)</x:f>
        <x:v>116083.54000000004</x:v>
      </x:c>
      <x:c r="W10" s="16" t="n">
        <x:f>SUMIFS('Vendas'!$P$6:$P$437,'Vendas'!$T$6:$T$437,A10,'Vendas'!$C$6:$C$437,B10)</x:f>
        <x:v>141</x:v>
      </x:c>
    </x:row>
    <x:row r="11" ht="24" customHeight="1">
      <x:c r="A11" s="2" t="n">
        <x:v>2024</x:v>
      </x:c>
      <x:c r="B11" s="2" t="str">
        <x:v>Nordeste</x:v>
      </x:c>
      <x:c r="C11" s="17" t="n">
        <x:f>SUMIFS('Vendas'!$F$6:$F$437,'Vendas'!$T$6:$T$437,A11,'Vendas'!$C$6:$C$437,B11)</x:f>
        <x:v>4141258.6299999994</x:v>
      </x:c>
      <x:c r="D11" s="16" t="n">
        <x:f>SUMIFS('Vendas'!$E$6:$E$437,'Vendas'!$T$6:$T$437,A11,'Vendas'!$C$6:$C$437,B11)</x:f>
        <x:v>3564</x:v>
      </x:c>
      <x:c r="E11" s="17" t="n">
        <x:f>SUMIFS('Vendas'!$I$6:$I$437,'Vendas'!$T$6:$T$437,A11,'Vendas'!$C$6:$C$437,B11)</x:f>
        <x:v>3917913.6199999996</x:v>
      </x:c>
      <x:c r="F11" s="17" t="n">
        <x:f>SUMIFS('Vendas'!$J$6:$J$437,'Vendas'!$T$6:$T$437,A11,'Vendas'!$C$6:$C$437,B11)</x:f>
        <x:v>2249397.06</x:v>
      </x:c>
      <x:c r="G11" s="17" t="n">
        <x:f>SUMIFS('Vendas'!$X$6:$X$437,'Vendas'!$T$6:$T$437,A11,'Vendas'!$C$6:$C$437,B11)</x:f>
        <x:v>1231322.15</x:v>
      </x:c>
      <x:c r="H11" s="22" t="n">
        <x:f>IF(E11=0,"",(E11-F11)/E11)</x:f>
        <x:v>0.4258686438319178</x:v>
      </x:c>
      <x:c r="I11" s="22" t="n">
        <x:f>IF(E11=0,"",G11/E11)</x:f>
        <x:v>0.31428006572538986</x:v>
      </x:c>
      <x:c r="J11" s="17" t="n">
        <x:f>IF(D11=0,"",C11/D11)</x:f>
        <x:v>1161.9693125701458</x:v>
      </x:c>
      <x:c r="K11" s="17" t="n">
        <x:f>IF(O11=0,"",N11/O11)</x:f>
        <x:v>120.8039911634757</x:v>
      </x:c>
      <x:c r="L11" s="22" t="n">
        <x:f>IF(D11=0,"",P11/D11)</x:f>
        <x:v>0.11251402918069585</x:v>
      </x:c>
      <x:c r="M11" s="23" t="n">
        <x:f>IF(Q11=0,"",100*(R11-S11)/Q11)</x:f>
        <x:v>45.74187884108868</x:v>
      </x:c>
      <x:c r="N11" s="17" t="n">
        <x:f>SUMIFS('Vendas'!$M$6:$M$437,'Vendas'!$T$6:$T$437,A11,'Vendas'!$C$6:$C$437,B11)</x:f>
        <x:v>164051.82</x:v>
      </x:c>
      <x:c r="O11" s="16" t="n">
        <x:f>SUMIFS('Vendas'!$N$6:$N$437,'Vendas'!$T$6:$T$437,A11,'Vendas'!$C$6:$C$437,B11)</x:f>
        <x:v>1358</x:v>
      </x:c>
      <x:c r="P11" s="16" t="n">
        <x:f>SUMIFS('Vendas'!$O$6:$O$437,'Vendas'!$T$6:$T$437,A11,'Vendas'!$C$6:$C$437,B11)</x:f>
        <x:v>401</x:v>
      </x:c>
      <x:c r="Q11" s="16" t="n">
        <x:f>SUMIFS('Vendas'!$Q$6:$Q$437,'Vendas'!$T$6:$T$437,A11,'Vendas'!$C$6:$C$437,B11)</x:f>
        <x:v>1139</x:v>
      </x:c>
      <x:c r="R11" s="16" t="n">
        <x:f>SUMIFS('Vendas'!$R$6:$R$437,'Vendas'!$T$6:$T$437,A11,'Vendas'!$C$6:$C$437,B11)</x:f>
        <x:v>717</x:v>
      </x:c>
      <x:c r="S11" s="16" t="n">
        <x:f>SUMIFS('Vendas'!$S$6:$S$437,'Vendas'!$T$6:$T$437,A11,'Vendas'!$C$6:$C$437,B11)</x:f>
        <x:v>196</x:v>
      </x:c>
      <x:c r="T11" s="17" t="n">
        <x:f>SUMIFS('Vendas'!$K$6:$K$437,'Vendas'!$T$6:$T$437,A11,'Vendas'!$C$6:$C$437,B11)</x:f>
        <x:v>179112.67999999996</x:v>
      </x:c>
      <x:c r="U11" s="17" t="n">
        <x:f>SUMIFS('Vendas'!$G$6:$G$437,'Vendas'!$T$6:$T$437,A11,'Vendas'!$C$6:$C$437,B11)</x:f>
        <x:v>144795.12999999998</x:v>
      </x:c>
      <x:c r="V11" s="17" t="n">
        <x:f>SUMIFS('Vendas'!$H$6:$H$437,'Vendas'!$T$6:$T$437,A11,'Vendas'!$C$6:$C$437,B11)</x:f>
        <x:v>78549.87999999999</x:v>
      </x:c>
      <x:c r="W11" s="16" t="n">
        <x:f>SUMIFS('Vendas'!$P$6:$P$437,'Vendas'!$T$6:$T$437,A11,'Vendas'!$C$6:$C$437,B11)</x:f>
        <x:v>98</x:v>
      </x:c>
    </x:row>
    <x:row r="12" ht="24" customHeight="1">
      <x:c r="A12" s="2" t="n">
        <x:v>2024</x:v>
      </x:c>
      <x:c r="B12" s="2" t="str">
        <x:v>Sul</x:v>
      </x:c>
      <x:c r="C12" s="17" t="n">
        <x:f>SUMIFS('Vendas'!$F$6:$F$437,'Vendas'!$T$6:$T$437,A12,'Vendas'!$C$6:$C$437,B12)</x:f>
        <x:v>3281064.34</x:v>
      </x:c>
      <x:c r="D12" s="16" t="n">
        <x:f>SUMIFS('Vendas'!$E$6:$E$437,'Vendas'!$T$6:$T$437,A12,'Vendas'!$C$6:$C$437,B12)</x:f>
        <x:v>2821</x:v>
      </x:c>
      <x:c r="E12" s="17" t="n">
        <x:f>SUMIFS('Vendas'!$I$6:$I$437,'Vendas'!$T$6:$T$437,A12,'Vendas'!$C$6:$C$437,B12)</x:f>
        <x:v>3104445.920000001</x:v>
      </x:c>
      <x:c r="F12" s="17" t="n">
        <x:f>SUMIFS('Vendas'!$J$6:$J$437,'Vendas'!$T$6:$T$437,A12,'Vendas'!$C$6:$C$437,B12)</x:f>
        <x:v>1776298.36</x:v>
      </x:c>
      <x:c r="G12" s="17" t="n">
        <x:f>SUMIFS('Vendas'!$X$6:$X$437,'Vendas'!$T$6:$T$437,A12,'Vendas'!$C$6:$C$437,B12)</x:f>
        <x:v>980034.0100000002</x:v>
      </x:c>
      <x:c r="H12" s="22" t="n">
        <x:f>IF(E12=0,"",(E12-F12)/E12)</x:f>
        <x:v>0.4278211295109307</x:v>
      </x:c>
      <x:c r="I12" s="22" t="n">
        <x:f>IF(E12=0,"",G12/E12)</x:f>
        <x:v>0.31568725474850595</x:v>
      </x:c>
      <x:c r="J12" s="17" t="n">
        <x:f>IF(D12=0,"",C12/D12)</x:f>
        <x:v>1163.0855512229705</x:v>
      </x:c>
      <x:c r="K12" s="17" t="n">
        <x:f>IF(O12=0,"",N12/O12)</x:f>
        <x:v>121.82252085264133</x:v>
      </x:c>
      <x:c r="L12" s="22" t="n">
        <x:f>IF(D12=0,"",P12/D12)</x:f>
        <x:v>0.11201701524282169</x:v>
      </x:c>
      <x:c r="M12" s="23" t="n">
        <x:f>IF(Q12=0,"",100*(R12-S12)/Q12)</x:f>
        <x:v>46.83684794672586</x:v>
      </x:c>
      <x:c r="N12" s="17" t="n">
        <x:f>SUMIFS('Vendas'!$M$6:$M$437,'Vendas'!$T$6:$T$437,A12,'Vendas'!$C$6:$C$437,B12)</x:f>
        <x:v>131446.5</x:v>
      </x:c>
      <x:c r="O12" s="16" t="n">
        <x:f>SUMIFS('Vendas'!$N$6:$N$437,'Vendas'!$T$6:$T$437,A12,'Vendas'!$C$6:$C$437,B12)</x:f>
        <x:v>1079</x:v>
      </x:c>
      <x:c r="P12" s="16" t="n">
        <x:f>SUMIFS('Vendas'!$O$6:$O$437,'Vendas'!$T$6:$T$437,A12,'Vendas'!$C$6:$C$437,B12)</x:f>
        <x:v>316</x:v>
      </x:c>
      <x:c r="Q12" s="16" t="n">
        <x:f>SUMIFS('Vendas'!$Q$6:$Q$437,'Vendas'!$T$6:$T$437,A12,'Vendas'!$C$6:$C$437,B12)</x:f>
        <x:v>901</x:v>
      </x:c>
      <x:c r="R12" s="16" t="n">
        <x:f>SUMIFS('Vendas'!$R$6:$R$437,'Vendas'!$T$6:$T$437,A12,'Vendas'!$C$6:$C$437,B12)</x:f>
        <x:v>574</x:v>
      </x:c>
      <x:c r="S12" s="16" t="n">
        <x:f>SUMIFS('Vendas'!$S$6:$S$437,'Vendas'!$T$6:$T$437,A12,'Vendas'!$C$6:$C$437,B12)</x:f>
        <x:v>152</x:v>
      </x:c>
      <x:c r="T12" s="17" t="n">
        <x:f>SUMIFS('Vendas'!$K$6:$K$437,'Vendas'!$T$6:$T$437,A12,'Vendas'!$C$6:$C$437,B12)</x:f>
        <x:v>142160.36000000004</x:v>
      </x:c>
      <x:c r="U12" s="17" t="n">
        <x:f>SUMIFS('Vendas'!$G$6:$G$437,'Vendas'!$T$6:$T$437,A12,'Vendas'!$C$6:$C$437,B12)</x:f>
        <x:v>114543.01999999999</x:v>
      </x:c>
      <x:c r="V12" s="17" t="n">
        <x:f>SUMIFS('Vendas'!$H$6:$H$437,'Vendas'!$T$6:$T$437,A12,'Vendas'!$C$6:$C$437,B12)</x:f>
        <x:v>62075.39999999998</x:v>
      </x:c>
      <x:c r="W12" s="16" t="n">
        <x:f>SUMIFS('Vendas'!$P$6:$P$437,'Vendas'!$T$6:$T$437,A12,'Vendas'!$C$6:$C$437,B12)</x:f>
        <x:v>75</x:v>
      </x:c>
    </x:row>
    <x:row r="13" ht="24" customHeight="1">
      <x:c r="A13" s="2" t="n">
        <x:v>2024</x:v>
      </x:c>
      <x:c r="B13" s="2" t="str">
        <x:v>Centro-Oeste</x:v>
      </x:c>
      <x:c r="C13" s="17" t="n">
        <x:f>SUMIFS('Vendas'!$F$6:$F$437,'Vendas'!$T$6:$T$437,A13,'Vendas'!$C$6:$C$437,B13)</x:f>
        <x:v>2639773.12</x:v>
      </x:c>
      <x:c r="D13" s="16" t="n">
        <x:f>SUMIFS('Vendas'!$E$6:$E$437,'Vendas'!$T$6:$T$437,A13,'Vendas'!$C$6:$C$437,B13)</x:f>
        <x:v>2272</x:v>
      </x:c>
      <x:c r="E13" s="17" t="n">
        <x:f>SUMIFS('Vendas'!$I$6:$I$437,'Vendas'!$T$6:$T$437,A13,'Vendas'!$C$6:$C$437,B13)</x:f>
        <x:v>2497322.460000001</x:v>
      </x:c>
      <x:c r="F13" s="17" t="n">
        <x:f>SUMIFS('Vendas'!$J$6:$J$437,'Vendas'!$T$6:$T$437,A13,'Vendas'!$C$6:$C$437,B13)</x:f>
        <x:v>1428110.7000000002</x:v>
      </x:c>
      <x:c r="G13" s="17" t="n">
        <x:f>SUMIFS('Vendas'!$X$6:$X$437,'Vendas'!$T$6:$T$437,A13,'Vendas'!$C$6:$C$437,B13)</x:f>
        <x:v>791096.9400000001</x:v>
      </x:c>
      <x:c r="H13" s="22" t="n">
        <x:f>IF(E13=0,"",(E13-F13)/E13)</x:f>
        <x:v>0.42814325227347705</x:v>
      </x:c>
      <x:c r="I13" s="22" t="n">
        <x:f>IF(E13=0,"",G13/E13)</x:f>
        <x:v>0.3167780503603847</x:v>
      </x:c>
      <x:c r="J13" s="17" t="n">
        <x:f>IF(D13=0,"",C13/D13)</x:f>
        <x:v>1161.871971830986</x:v>
      </x:c>
      <x:c r="K13" s="17" t="n">
        <x:f>IF(O13=0,"",N13/O13)</x:f>
        <x:v>120.21430715935337</x:v>
      </x:c>
      <x:c r="L13" s="22" t="n">
        <x:f>IF(D13=0,"",P13/D13)</x:f>
        <x:v>0.11179577464788733</x:v>
      </x:c>
      <x:c r="M13" s="23" t="n">
        <x:f>IF(Q13=0,"",100*(R13-S13)/Q13)</x:f>
        <x:v>45.6551724137931</x:v>
      </x:c>
      <x:c r="N13" s="17" t="n">
        <x:f>SUMIFS('Vendas'!$M$6:$M$437,'Vendas'!$T$6:$T$437,A13,'Vendas'!$C$6:$C$437,B13)</x:f>
        <x:v>104105.59000000001</x:v>
      </x:c>
      <x:c r="O13" s="16" t="n">
        <x:f>SUMIFS('Vendas'!$N$6:$N$437,'Vendas'!$T$6:$T$437,A13,'Vendas'!$C$6:$C$437,B13)</x:f>
        <x:v>866</x:v>
      </x:c>
      <x:c r="P13" s="16" t="n">
        <x:f>SUMIFS('Vendas'!$O$6:$O$437,'Vendas'!$T$6:$T$437,A13,'Vendas'!$C$6:$C$437,B13)</x:f>
        <x:v>254</x:v>
      </x:c>
      <x:c r="Q13" s="16" t="n">
        <x:f>SUMIFS('Vendas'!$Q$6:$Q$437,'Vendas'!$T$6:$T$437,A13,'Vendas'!$C$6:$C$437,B13)</x:f>
        <x:v>725</x:v>
      </x:c>
      <x:c r="R13" s="16" t="n">
        <x:f>SUMIFS('Vendas'!$R$6:$R$437,'Vendas'!$T$6:$T$437,A13,'Vendas'!$C$6:$C$437,B13)</x:f>
        <x:v>457</x:v>
      </x:c>
      <x:c r="S13" s="16" t="n">
        <x:f>SUMIFS('Vendas'!$S$6:$S$437,'Vendas'!$T$6:$T$437,A13,'Vendas'!$C$6:$C$437,B13)</x:f>
        <x:v>126</x:v>
      </x:c>
      <x:c r="T13" s="17" t="n">
        <x:f>SUMIFS('Vendas'!$K$6:$K$437,'Vendas'!$T$6:$T$437,A13,'Vendas'!$C$6:$C$437,B13)</x:f>
        <x:v>114073.49999999997</x:v>
      </x:c>
      <x:c r="U13" s="17" t="n">
        <x:f>SUMIFS('Vendas'!$G$6:$G$437,'Vendas'!$T$6:$T$437,A13,'Vendas'!$C$6:$C$437,B13)</x:f>
        <x:v>92340.99000000002</x:v>
      </x:c>
      <x:c r="V13" s="17" t="n">
        <x:f>SUMIFS('Vendas'!$H$6:$H$437,'Vendas'!$T$6:$T$437,A13,'Vendas'!$C$6:$C$437,B13)</x:f>
        <x:v>50109.670000000006</x:v>
      </x:c>
      <x:c r="W13" s="16" t="n">
        <x:f>SUMIFS('Vendas'!$P$6:$P$437,'Vendas'!$T$6:$T$437,A13,'Vendas'!$C$6:$C$437,B13)</x:f>
        <x:v>63</x:v>
      </x:c>
    </x:row>
    <x:row r="14" ht="24" customHeight="1">
      <x:c r="A14" s="2" t="n">
        <x:v>2025</x:v>
      </x:c>
      <x:c r="B14" s="2" t="str">
        <x:v>Sudeste</x:v>
      </x:c>
      <x:c r="C14" s="17" t="n">
        <x:f>SUMIFS('Vendas'!$F$6:$F$437,'Vendas'!$T$6:$T$437,A14,'Vendas'!$C$6:$C$437,B14)</x:f>
        <x:v>7199153.030000002</x:v>
      </x:c>
      <x:c r="D14" s="16" t="n">
        <x:f>SUMIFS('Vendas'!$E$6:$E$437,'Vendas'!$T$6:$T$437,A14,'Vendas'!$C$6:$C$437,B14)</x:f>
        <x:v>6198</x:v>
      </x:c>
      <x:c r="E14" s="17" t="n">
        <x:f>SUMIFS('Vendas'!$I$6:$I$437,'Vendas'!$T$6:$T$437,A14,'Vendas'!$C$6:$C$437,B14)</x:f>
        <x:v>6720144.960000001</x:v>
      </x:c>
      <x:c r="F14" s="17" t="n">
        <x:f>SUMIFS('Vendas'!$J$6:$J$437,'Vendas'!$T$6:$T$437,A14,'Vendas'!$C$6:$C$437,B14)</x:f>
        <x:v>4145523.860000001</x:v>
      </x:c>
      <x:c r="G14" s="17" t="n">
        <x:f>SUMIFS('Vendas'!$X$6:$X$437,'Vendas'!$T$6:$T$437,A14,'Vendas'!$C$6:$C$437,B14)</x:f>
        <x:v>1743561.3699999996</x:v>
      </x:c>
      <x:c r="H14" s="22" t="n">
        <x:f>IF(E14=0,"",(E14-F14)/E14)</x:f>
        <x:v>0.38311987543792503</x:v>
      </x:c>
      <x:c r="I14" s="22" t="n">
        <x:f>IF(E14=0,"",G14/E14)</x:f>
        <x:v>0.2594529404318087</x:v>
      </x:c>
      <x:c r="J14" s="17" t="n">
        <x:f>IF(D14=0,"",C14/D14)</x:f>
        <x:v>1161.5284010971284</x:v>
      </x:c>
      <x:c r="K14" s="17" t="n">
        <x:f>IF(O14=0,"",N14/O14)</x:f>
        <x:v>119.46556967386701</x:v>
      </x:c>
      <x:c r="L14" s="22" t="n">
        <x:f>IF(D14=0,"",P14/D14)</x:f>
        <x:v>0.17489512746047112</x:v>
      </x:c>
      <x:c r="M14" s="23" t="n">
        <x:f>IF(Q14=0,"",100*(R14-S14)/Q14)</x:f>
        <x:v>33.97274103987885</x:v>
      </x:c>
      <x:c r="N14" s="17" t="n">
        <x:f>SUMIFS('Vendas'!$M$6:$M$437,'Vendas'!$T$6:$T$437,A14,'Vendas'!$C$6:$C$437,B14)</x:f>
        <x:v>282058.21</x:v>
      </x:c>
      <x:c r="O14" s="16" t="n">
        <x:f>SUMIFS('Vendas'!$N$6:$N$437,'Vendas'!$T$6:$T$437,A14,'Vendas'!$C$6:$C$437,B14)</x:f>
        <x:v>2361</x:v>
      </x:c>
      <x:c r="P14" s="16" t="n">
        <x:f>SUMIFS('Vendas'!$O$6:$O$437,'Vendas'!$T$6:$T$437,A14,'Vendas'!$C$6:$C$437,B14)</x:f>
        <x:v>1084</x:v>
      </x:c>
      <x:c r="Q14" s="16" t="n">
        <x:f>SUMIFS('Vendas'!$Q$6:$Q$437,'Vendas'!$T$6:$T$437,A14,'Vendas'!$C$6:$C$437,B14)</x:f>
        <x:v>1981</x:v>
      </x:c>
      <x:c r="R14" s="16" t="n">
        <x:f>SUMIFS('Vendas'!$R$6:$R$437,'Vendas'!$T$6:$T$437,A14,'Vendas'!$C$6:$C$437,B14)</x:f>
        <x:v>1109</x:v>
      </x:c>
      <x:c r="S14" s="16" t="n">
        <x:f>SUMIFS('Vendas'!$S$6:$S$437,'Vendas'!$T$6:$T$437,A14,'Vendas'!$C$6:$C$437,B14)</x:f>
        <x:v>436</x:v>
      </x:c>
      <x:c r="T14" s="17" t="n">
        <x:f>SUMIFS('Vendas'!$K$6:$K$437,'Vendas'!$T$6:$T$437,A14,'Vendas'!$C$6:$C$437,B14)</x:f>
        <x:v>387718.0400000001</x:v>
      </x:c>
      <x:c r="U14" s="17" t="n">
        <x:f>SUMIFS('Vendas'!$G$6:$G$437,'Vendas'!$T$6:$T$437,A14,'Vendas'!$C$6:$C$437,B14)</x:f>
        <x:v>299472.36</x:v>
      </x:c>
      <x:c r="V14" s="17" t="n">
        <x:f>SUMIFS('Vendas'!$H$6:$H$437,'Vendas'!$T$6:$T$437,A14,'Vendas'!$C$6:$C$437,B14)</x:f>
        <x:v>179535.71000000002</x:v>
      </x:c>
      <x:c r="W14" s="16" t="n">
        <x:f>SUMIFS('Vendas'!$P$6:$P$437,'Vendas'!$T$6:$T$437,A14,'Vendas'!$C$6:$C$437,B14)</x:f>
        <x:v>206</x:v>
      </x:c>
    </x:row>
    <x:row r="15" ht="24" customHeight="1">
      <x:c r="A15" s="2" t="n">
        <x:v>2025</x:v>
      </x:c>
      <x:c r="B15" s="2" t="str">
        <x:v>Nordeste</x:v>
      </x:c>
      <x:c r="C15" s="17" t="n">
        <x:f>SUMIFS('Vendas'!$F$6:$F$437,'Vendas'!$T$6:$T$437,A15,'Vendas'!$C$6:$C$437,B15)</x:f>
        <x:v>4819512.279999999</x:v>
      </x:c>
      <x:c r="D15" s="16" t="n">
        <x:f>SUMIFS('Vendas'!$E$6:$E$437,'Vendas'!$T$6:$T$437,A15,'Vendas'!$C$6:$C$437,B15)</x:f>
        <x:v>4146</x:v>
      </x:c>
      <x:c r="E15" s="17" t="n">
        <x:f>SUMIFS('Vendas'!$I$6:$I$437,'Vendas'!$T$6:$T$437,A15,'Vendas'!$C$6:$C$437,B15)</x:f>
        <x:v>4498488.83</x:v>
      </x:c>
      <x:c r="F15" s="17" t="n">
        <x:f>SUMIFS('Vendas'!$J$6:$J$437,'Vendas'!$T$6:$T$437,A15,'Vendas'!$C$6:$C$437,B15)</x:f>
        <x:v>2774923.0700000003</x:v>
      </x:c>
      <x:c r="G15" s="17" t="n">
        <x:f>SUMIFS('Vendas'!$X$6:$X$437,'Vendas'!$T$6:$T$437,A15,'Vendas'!$C$6:$C$437,B15)</x:f>
        <x:v>1165440.1800000002</x:v>
      </x:c>
      <x:c r="H15" s="22" t="n">
        <x:f>IF(E15=0,"",(E15-F15)/E15)</x:f>
        <x:v>0.383143278806363</x:v>
      </x:c>
      <x:c r="I15" s="22" t="n">
        <x:f>IF(E15=0,"",G15/E15)</x:f>
        <x:v>0.25907370764773024</x:v>
      </x:c>
      <x:c r="J15" s="17" t="n">
        <x:f>IF(D15=0,"",C15/D15)</x:f>
        <x:v>1162.4486927158705</x:v>
      </x:c>
      <x:c r="K15" s="17" t="n">
        <x:f>IF(O15=0,"",N15/O15)</x:f>
        <x:v>119.74119798234551</x:v>
      </x:c>
      <x:c r="L15" s="22" t="n">
        <x:f>IF(D15=0,"",P15/D15)</x:f>
        <x:v>0.1603955619874578</x:v>
      </x:c>
      <x:c r="M15" s="23" t="n">
        <x:f>IF(Q15=0,"",100*(R15-S15)/Q15)</x:f>
        <x:v>33.886792452830186</x:v>
      </x:c>
      <x:c r="N15" s="17" t="n">
        <x:f>SUMIFS('Vendas'!$M$6:$M$437,'Vendas'!$T$6:$T$437,A15,'Vendas'!$C$6:$C$437,B15)</x:f>
        <x:v>189909.53999999998</x:v>
      </x:c>
      <x:c r="O15" s="16" t="n">
        <x:f>SUMIFS('Vendas'!$N$6:$N$437,'Vendas'!$T$6:$T$437,A15,'Vendas'!$C$6:$C$437,B15)</x:f>
        <x:v>1586</x:v>
      </x:c>
      <x:c r="P15" s="16" t="n">
        <x:f>SUMIFS('Vendas'!$O$6:$O$437,'Vendas'!$T$6:$T$437,A15,'Vendas'!$C$6:$C$437,B15)</x:f>
        <x:v>665</x:v>
      </x:c>
      <x:c r="Q15" s="16" t="n">
        <x:f>SUMIFS('Vendas'!$Q$6:$Q$437,'Vendas'!$T$6:$T$437,A15,'Vendas'!$C$6:$C$437,B15)</x:f>
        <x:v>1325</x:v>
      </x:c>
      <x:c r="R15" s="16" t="n">
        <x:f>SUMIFS('Vendas'!$R$6:$R$437,'Vendas'!$T$6:$T$437,A15,'Vendas'!$C$6:$C$437,B15)</x:f>
        <x:v>742</x:v>
      </x:c>
      <x:c r="S15" s="16" t="n">
        <x:f>SUMIFS('Vendas'!$S$6:$S$437,'Vendas'!$T$6:$T$437,A15,'Vendas'!$C$6:$C$437,B15)</x:f>
        <x:v>293</x:v>
      </x:c>
      <x:c r="T15" s="17" t="n">
        <x:f>SUMIFS('Vendas'!$K$6:$K$437,'Vendas'!$T$6:$T$437,A15,'Vendas'!$C$6:$C$437,B15)</x:f>
        <x:v>260252.32</x:v>
      </x:c>
      <x:c r="U15" s="17" t="n">
        <x:f>SUMIFS('Vendas'!$G$6:$G$437,'Vendas'!$T$6:$T$437,A15,'Vendas'!$C$6:$C$437,B15)</x:f>
        <x:v>200667.03999999998</x:v>
      </x:c>
      <x:c r="V15" s="17" t="n">
        <x:f>SUMIFS('Vendas'!$H$6:$H$437,'Vendas'!$T$6:$T$437,A15,'Vendas'!$C$6:$C$437,B15)</x:f>
        <x:v>120356.40999999997</x:v>
      </x:c>
      <x:c r="W15" s="16" t="n">
        <x:f>SUMIFS('Vendas'!$P$6:$P$437,'Vendas'!$T$6:$T$437,A15,'Vendas'!$C$6:$C$437,B15)</x:f>
        <x:v>137</x:v>
      </x:c>
    </x:row>
    <x:row r="16" ht="24" customHeight="1">
      <x:c r="A16" s="2" t="n">
        <x:v>2025</x:v>
      </x:c>
      <x:c r="B16" s="2" t="str">
        <x:v>Sul</x:v>
      </x:c>
      <x:c r="C16" s="17" t="n">
        <x:f>SUMIFS('Vendas'!$F$6:$F$437,'Vendas'!$T$6:$T$437,A16,'Vendas'!$C$6:$C$437,B16)</x:f>
        <x:v>3811980.6899999995</x:v>
      </x:c>
      <x:c r="D16" s="16" t="n">
        <x:f>SUMIFS('Vendas'!$E$6:$E$437,'Vendas'!$T$6:$T$437,A16,'Vendas'!$C$6:$C$437,B16)</x:f>
        <x:v>3280</x:v>
      </x:c>
      <x:c r="E16" s="17" t="n">
        <x:f>SUMIFS('Vendas'!$I$6:$I$437,'Vendas'!$T$6:$T$437,A16,'Vendas'!$C$6:$C$437,B16)</x:f>
        <x:v>3558264.7400000007</x:v>
      </x:c>
      <x:c r="F16" s="17" t="n">
        <x:f>SUMIFS('Vendas'!$J$6:$J$437,'Vendas'!$T$6:$T$437,A16,'Vendas'!$C$6:$C$437,B16)</x:f>
        <x:v>2191112.12</x:v>
      </x:c>
      <x:c r="G16" s="17" t="n">
        <x:f>SUMIFS('Vendas'!$X$6:$X$437,'Vendas'!$T$6:$T$437,A16,'Vendas'!$C$6:$C$437,B16)</x:f>
        <x:v>926833.4999999999</x:v>
      </x:c>
      <x:c r="H16" s="22" t="n">
        <x:f>IF(E16=0,"",(E16-F16)/E16)</x:f>
        <x:v>0.38421891565044153</x:v>
      </x:c>
      <x:c r="I16" s="22" t="n">
        <x:f>IF(E16=0,"",G16/E16)</x:f>
        <x:v>0.26047345201189265</x:v>
      </x:c>
      <x:c r="J16" s="17" t="n">
        <x:f>IF(D16=0,"",C16/D16)</x:f>
        <x:v>1162.1892347560974</x:v>
      </x:c>
      <x:c r="K16" s="17" t="n">
        <x:f>IF(O16=0,"",N16/O16)</x:f>
        <x:v>119.50533173461227</x:v>
      </x:c>
      <x:c r="L16" s="22" t="n">
        <x:f>IF(D16=0,"",P16/D16)</x:f>
        <x:v>0.1597560975609756</x:v>
      </x:c>
      <x:c r="M16" s="23" t="n">
        <x:f>IF(Q16=0,"",100*(R16-S16)/Q16)</x:f>
        <x:v>34.34823977164605</x:v>
      </x:c>
      <x:c r="N16" s="17" t="n">
        <x:f>SUMIFS('Vendas'!$M$6:$M$437,'Vendas'!$T$6:$T$437,A16,'Vendas'!$C$6:$C$437,B16)</x:f>
        <x:v>149501.16999999995</x:v>
      </x:c>
      <x:c r="O16" s="16" t="n">
        <x:f>SUMIFS('Vendas'!$N$6:$N$437,'Vendas'!$T$6:$T$437,A16,'Vendas'!$C$6:$C$437,B16)</x:f>
        <x:v>1251</x:v>
      </x:c>
      <x:c r="P16" s="16" t="n">
        <x:f>SUMIFS('Vendas'!$O$6:$O$437,'Vendas'!$T$6:$T$437,A16,'Vendas'!$C$6:$C$437,B16)</x:f>
        <x:v>524</x:v>
      </x:c>
      <x:c r="Q16" s="16" t="n">
        <x:f>SUMIFS('Vendas'!$Q$6:$Q$437,'Vendas'!$T$6:$T$437,A16,'Vendas'!$C$6:$C$437,B16)</x:f>
        <x:v>1051</x:v>
      </x:c>
      <x:c r="R16" s="16" t="n">
        <x:f>SUMIFS('Vendas'!$R$6:$R$437,'Vendas'!$T$6:$T$437,A16,'Vendas'!$C$6:$C$437,B16)</x:f>
        <x:v>591</x:v>
      </x:c>
      <x:c r="S16" s="16" t="n">
        <x:f>SUMIFS('Vendas'!$S$6:$S$437,'Vendas'!$T$6:$T$437,A16,'Vendas'!$C$6:$C$437,B16)</x:f>
        <x:v>230</x:v>
      </x:c>
      <x:c r="T16" s="17" t="n">
        <x:f>SUMIFS('Vendas'!$K$6:$K$437,'Vendas'!$T$6:$T$437,A16,'Vendas'!$C$6:$C$437,B16)</x:f>
        <x:v>205419.61999999997</x:v>
      </x:c>
      <x:c r="U16" s="17" t="n">
        <x:f>SUMIFS('Vendas'!$G$6:$G$437,'Vendas'!$T$6:$T$437,A16,'Vendas'!$C$6:$C$437,B16)</x:f>
        <x:v>158613.51999999996</x:v>
      </x:c>
      <x:c r="V16" s="17" t="n">
        <x:f>SUMIFS('Vendas'!$H$6:$H$437,'Vendas'!$T$6:$T$437,A16,'Vendas'!$C$6:$C$437,B16)</x:f>
        <x:v>95102.42999999998</x:v>
      </x:c>
      <x:c r="W16" s="16" t="n">
        <x:f>SUMIFS('Vendas'!$P$6:$P$437,'Vendas'!$T$6:$T$437,A16,'Vendas'!$C$6:$C$437,B16)</x:f>
        <x:v>111</x:v>
      </x:c>
    </x:row>
    <x:row r="17" ht="24" customHeight="1">
      <x:c r="A17" s="2" t="n">
        <x:v>2025</x:v>
      </x:c>
      <x:c r="B17" s="2" t="str">
        <x:v>Centro-Oeste</x:v>
      </x:c>
      <x:c r="C17" s="17" t="n">
        <x:f>SUMIFS('Vendas'!$F$6:$F$437,'Vendas'!$T$6:$T$437,A17,'Vendas'!$C$6:$C$437,B17)</x:f>
        <x:v>3124144.7300000004</x:v>
      </x:c>
      <x:c r="D17" s="16" t="n">
        <x:f>SUMIFS('Vendas'!$E$6:$E$437,'Vendas'!$T$6:$T$437,A17,'Vendas'!$C$6:$C$437,B17)</x:f>
        <x:v>2688</x:v>
      </x:c>
      <x:c r="E17" s="17" t="n">
        <x:f>SUMIFS('Vendas'!$I$6:$I$437,'Vendas'!$T$6:$T$437,A17,'Vendas'!$C$6:$C$437,B17)</x:f>
        <x:v>2916276.3200000008</x:v>
      </x:c>
      <x:c r="F17" s="17" t="n">
        <x:f>SUMIFS('Vendas'!$J$6:$J$437,'Vendas'!$T$6:$T$437,A17,'Vendas'!$C$6:$C$437,B17)</x:f>
        <x:v>1795359.8199999998</x:v>
      </x:c>
      <x:c r="G17" s="17" t="n">
        <x:f>SUMIFS('Vendas'!$X$6:$X$437,'Vendas'!$T$6:$T$437,A17,'Vendas'!$C$6:$C$437,B17)</x:f>
        <x:v>761744.9299999999</x:v>
      </x:c>
      <x:c r="H17" s="22" t="n">
        <x:f>IF(E17=0,"",(E17-F17)/E17)</x:f>
        <x:v>0.3843656694369759</x:v>
      </x:c>
      <x:c r="I17" s="22" t="n">
        <x:f>IF(E17=0,"",G17/E17)</x:f>
        <x:v>0.2612046481247016</x:v>
      </x:c>
      <x:c r="J17" s="17" t="n">
        <x:f>IF(D17=0,"",C17/D17)</x:f>
        <x:v>1162.2562239583335</x:v>
      </x:c>
      <x:c r="K17" s="17" t="n">
        <x:f>IF(O17=0,"",N17/O17)</x:f>
        <x:v>119.29744346116027</x:v>
      </x:c>
      <x:c r="L17" s="22" t="n">
        <x:f>IF(D17=0,"",P17/D17)</x:f>
        <x:v>0.15997023809523808</x:v>
      </x:c>
      <x:c r="M17" s="23" t="n">
        <x:f>IF(Q17=0,"",100*(R17-S17)/Q17)</x:f>
        <x:v>34.03019744483159</x:v>
      </x:c>
      <x:c r="N17" s="17" t="n">
        <x:f>SUMIFS('Vendas'!$M$6:$M$437,'Vendas'!$T$6:$T$437,A17,'Vendas'!$C$6:$C$437,B17)</x:f>
        <x:v>121325.5</x:v>
      </x:c>
      <x:c r="O17" s="16" t="n">
        <x:f>SUMIFS('Vendas'!$N$6:$N$437,'Vendas'!$T$6:$T$437,A17,'Vendas'!$C$6:$C$437,B17)</x:f>
        <x:v>1017</x:v>
      </x:c>
      <x:c r="P17" s="16" t="n">
        <x:f>SUMIFS('Vendas'!$O$6:$O$437,'Vendas'!$T$6:$T$437,A17,'Vendas'!$C$6:$C$437,B17)</x:f>
        <x:v>430</x:v>
      </x:c>
      <x:c r="Q17" s="16" t="n">
        <x:f>SUMIFS('Vendas'!$Q$6:$Q$437,'Vendas'!$T$6:$T$437,A17,'Vendas'!$C$6:$C$437,B17)</x:f>
        <x:v>861</x:v>
      </x:c>
      <x:c r="R17" s="16" t="n">
        <x:f>SUMIFS('Vendas'!$R$6:$R$437,'Vendas'!$T$6:$T$437,A17,'Vendas'!$C$6:$C$437,B17)</x:f>
        <x:v>482</x:v>
      </x:c>
      <x:c r="S17" s="16" t="n">
        <x:f>SUMIFS('Vendas'!$S$6:$S$437,'Vendas'!$T$6:$T$437,A17,'Vendas'!$C$6:$C$437,B17)</x:f>
        <x:v>189</x:v>
      </x:c>
      <x:c r="T17" s="17" t="n">
        <x:f>SUMIFS('Vendas'!$K$6:$K$437,'Vendas'!$T$6:$T$437,A17,'Vendas'!$C$6:$C$437,B17)</x:f>
        <x:v>167855.45</x:v>
      </x:c>
      <x:c r="U17" s="17" t="n">
        <x:f>SUMIFS('Vendas'!$G$6:$G$437,'Vendas'!$T$6:$T$437,A17,'Vendas'!$C$6:$C$437,B17)</x:f>
        <x:v>129958.02000000003</x:v>
      </x:c>
      <x:c r="V17" s="17" t="n">
        <x:f>SUMIFS('Vendas'!$H$6:$H$437,'Vendas'!$T$6:$T$437,A17,'Vendas'!$C$6:$C$437,B17)</x:f>
        <x:v>77910.39000000003</x:v>
      </x:c>
      <x:c r="W17" s="16" t="n">
        <x:f>SUMIFS('Vendas'!$P$6:$P$437,'Vendas'!$T$6:$T$437,A17,'Vendas'!$C$6:$C$437,B17)</x:f>
        <x:v>86</x:v>
      </x:c>
    </x:row>
  </x:sheetData>
  <x:pageMargins left="0.7" right="0.7" top="0.75" bottom="0.75" header="0.3" footer="0.3"/>
  <x:tableParts count="1">
    <x:tablePart xmlns:r="http://schemas.openxmlformats.org/officeDocument/2006/relationships" r:id="Rc6c358ecdbac4d1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5" hidden="0" customWidth="1"/>
    <x:col min="2" max="2" width="23" hidden="0" customWidth="1"/>
    <x:col min="3" max="3" width="23" hidden="0" customWidth="1"/>
    <x:col min="4" max="4" width="23" hidden="0" customWidth="1"/>
    <x:col min="5" max="5" width="64" hidden="0" customWidth="1"/>
  </x:cols>
  <x:sheetData>
    <x:row r="1" ht="32" customHeight="1">
      <x:c r="A1" s="4" t="str">
        <x:v>Cenários para o conselho</x:v>
      </x:c>
      <x:c r="B1" s="1"/>
      <x:c r="C1" s="1"/>
      <x:c r="D1" s="1"/>
      <x:c r="E1" s="1"/>
    </x:row>
    <x:row r="2" ht="22" customHeight="1">
      <x:c r="A2" s="5" t="str">
        <x:v>Q1 e Q2/2026 · premissas didáticas editáveis em amarelo · nenhuma alocação implica retorno garantido</x:v>
      </x:c>
      <x:c r="B2" s="1"/>
      <x:c r="C2" s="1"/>
      <x:c r="D2" s="1"/>
      <x:c r="E2" s="1"/>
    </x:row>
    <x:row r="3" ht="10" customHeight="1">
      <x:c r="A3" s="3"/>
      <x:c r="B3" s="3"/>
      <x:c r="C3" s="3"/>
      <x:c r="D3" s="3"/>
      <x:c r="E3" s="3"/>
    </x:row>
    <x:row r="4" ht="10" customHeight="1">
      <x:c r="A4" s="1"/>
      <x:c r="B4" s="1"/>
      <x:c r="C4" s="1"/>
      <x:c r="D4" s="1"/>
      <x:c r="E4" s="1"/>
    </x:row>
    <x:row r="5" ht="46" customHeight="1">
      <x:c r="A5" s="11" t="str">
        <x:v>Destinação</x:v>
      </x:c>
      <x:c r="B5" s="12" t="str">
        <x:v>Cenário A</x:v>
      </x:c>
      <x:c r="C5" s="12" t="str">
        <x:v>Cenário B</x:v>
      </x:c>
      <x:c r="D5" s="12" t="str">
        <x:v>Cenário C</x:v>
      </x:c>
      <x:c r="E5" s="13" t="str">
        <x:v>Critério a discutir</x:v>
      </x:c>
    </x:row>
    <x:row r="6" ht="28" customHeight="1">
      <x:c r="A6" s="2" t="str">
        <x:v>Logística</x:v>
      </x:c>
      <x:c r="B6" s="33" t="n">
        <x:v>480000</x:v>
      </x:c>
      <x:c r="C6" s="33" t="n">
        <x:v>600000</x:v>
      </x:c>
      <x:c r="D6" s="33" t="n">
        <x:v>300000</x:v>
      </x:c>
      <x:c r="E6" s="30" t="str">
        <x:v>Atrasos e contribuição por canal</x:v>
      </x:c>
    </x:row>
    <x:row r="7" ht="28" customHeight="1">
      <x:c r="A7" s="2" t="str">
        <x:v>Aquisição</x:v>
      </x:c>
      <x:c r="B7" s="33" t="n">
        <x:v>240000</x:v>
      </x:c>
      <x:c r="C7" s="33" t="n">
        <x:v>180000</x:v>
      </x:c>
      <x:c r="D7" s="33" t="n">
        <x:v>360000</x:v>
      </x:c>
      <x:c r="E7" s="30" t="str">
        <x:v>CAC gerencial e contribuição</x:v>
      </x:c>
    </x:row>
    <x:row r="8" ht="28" customHeight="1">
      <x:c r="A8" s="2" t="str">
        <x:v>Expansão B2B</x:v>
      </x:c>
      <x:c r="B8" s="33" t="n">
        <x:v>240000</x:v>
      </x:c>
      <x:c r="C8" s="33" t="n">
        <x:v>180000</x:v>
      </x:c>
      <x:c r="D8" s="33" t="n">
        <x:v>360000</x:v>
      </x:c>
      <x:c r="E8" s="30" t="str">
        <x:v>Contribuição e capacidade operacional</x:v>
      </x:c>
    </x:row>
    <x:row r="9" ht="28" customHeight="1">
      <x:c r="A9" s="2" t="str">
        <x:v>Reserva</x:v>
      </x:c>
      <x:c r="B9" s="33" t="n">
        <x:v>240000</x:v>
      </x:c>
      <x:c r="C9" s="33" t="n">
        <x:v>240000</x:v>
      </x:c>
      <x:c r="D9" s="33" t="n">
        <x:v>180000</x:v>
      </x:c>
      <x:c r="E9" s="30" t="str">
        <x:v>Gatilhos e incertezas da execução</x:v>
      </x:c>
    </x:row>
    <x:row r="10" ht="28" customHeight="1">
      <x:c r="A10" s="2" t="str">
        <x:v>Total</x:v>
      </x:c>
      <x:c r="B10" s="17" t="n">
        <x:f>SUM(B6:B9)</x:f>
        <x:v>1200000</x:v>
      </x:c>
      <x:c r="C10" s="17" t="n">
        <x:f>SUM(C6:C9)</x:f>
        <x:v>1200000</x:v>
      </x:c>
      <x:c r="D10" s="17" t="n">
        <x:f>SUM(D6:D9)</x:f>
        <x:v>1200000</x:v>
      </x:c>
      <x:c r="E10" s="30" t="str">
        <x:v>Alocações + reserva</x:v>
      </x:c>
    </x:row>
    <x:row r="11" ht="28" customHeight="1">
      <x:c r="A11" s="2" t="str">
        <x:v>Orçamento hipotético</x:v>
      </x:c>
      <x:c r="B11" s="17" t="n">
        <x:v>1200000</x:v>
      </x:c>
      <x:c r="C11" s="17" t="n">
        <x:v>1200000</x:v>
      </x:c>
      <x:c r="D11" s="17" t="n">
        <x:v>1200000</x:v>
      </x:c>
      <x:c r="E11" s="30" t="str">
        <x:v>Fonte: mandato CON-01</x:v>
      </x:c>
    </x:row>
    <x:row r="12" ht="28" customHeight="1">
      <x:c r="A12" s="2" t="str">
        <x:v>Diferença</x:v>
      </x:c>
      <x:c r="B12" s="17" t="n">
        <x:f>B11-B10</x:f>
        <x:v>0</x:v>
      </x:c>
      <x:c r="C12" s="17" t="n">
        <x:f>C11-C10</x:f>
        <x:v>0</x:v>
      </x:c>
      <x:c r="D12" s="17" t="n">
        <x:f>D11-D10</x:f>
        <x:v>0</x:v>
      </x:c>
      <x:c r="E12" s="30" t="str">
        <x:v>Deve ser zero</x:v>
      </x:c>
    </x:row>
    <x:row r="13">
      <x:c r="E13" s="40"/>
    </x:row>
    <x:row r="14">
      <x:c r="E14" s="40"/>
    </x:row>
    <x:row r="15">
      <x:c r="A15" s="1" t="str">
        <x:v>Sensibilidade da contribuição</x:v>
      </x:c>
      <x:c r="B15" s="1"/>
      <x:c r="C15" s="1"/>
      <x:c r="D15" s="1"/>
      <x:c r="E15" s="41"/>
    </x:row>
    <x:row r="16">
      <x:c r="A16" s="1" t="str">
        <x:v>Base: jan–nov/2025. Mesma receita líquida e demais custos. Altere apenas as três premissas abaixo.</x:v>
      </x:c>
      <x:c r="B16" s="1"/>
      <x:c r="C16" s="1"/>
      <x:c r="D16" s="1"/>
      <x:c r="E16" s="41"/>
    </x:row>
    <x:row r="17">
      <x:c r="A17" s="1"/>
      <x:c r="B17" s="1"/>
      <x:c r="C17" s="1"/>
      <x:c r="D17" s="1"/>
      <x:c r="E17" s="41"/>
    </x:row>
    <x:row r="18" ht="30" customHeight="1">
      <x:c r="A18" s="7" t="str">
        <x:v>Indicador</x:v>
      </x:c>
      <x:c r="B18" s="7" t="str">
        <x:v>Base histórica</x:v>
      </x:c>
      <x:c r="C18" s="7" t="str">
        <x:v>Simulação A</x:v>
      </x:c>
      <x:c r="D18" s="7" t="str">
        <x:v>Simulação B</x:v>
      </x:c>
      <x:c r="E18" s="8" t="str">
        <x:v>Definição</x:v>
      </x:c>
    </x:row>
    <x:row r="19" ht="30" customHeight="1">
      <x:c r="A19" s="1" t="str">
        <x:v>Receita líquida</x:v>
      </x:c>
      <x:c r="B19" s="29" t="n">
        <x:f>SUMIFS('Vendas'!$I$6:$I$437,'Vendas'!$A$6:$A$437,"&gt;="&amp;$B$35,'Vendas'!$A$6:$A$437,"&lt;="&amp;$B$36)</x:f>
        <x:v>15790944.8</x:v>
      </x:c>
      <x:c r="C19" s="29" t="n">
        <x:f>$B19</x:f>
        <x:v>15790944.8</x:v>
      </x:c>
      <x:c r="D19" s="29" t="n">
        <x:f>$B19</x:f>
        <x:v>15790944.8</x:v>
      </x:c>
      <x:c r="E19" s="41" t="str">
        <x:v>Constante: não é uma previsão de receita</x:v>
      </x:c>
    </x:row>
    <x:row r="20" ht="30" customHeight="1">
      <x:c r="A20" s="1" t="str">
        <x:v>CMV</x:v>
      </x:c>
      <x:c r="B20" s="29" t="n">
        <x:f>SUMIFS('Vendas'!$J$6:$J$437,'Vendas'!$A$6:$A$437,"&gt;="&amp;$B$35,'Vendas'!$A$6:$A$437,"&lt;="&amp;$B$36)</x:f>
        <x:v>9714392.749999998</x:v>
      </x:c>
      <x:c r="C20" s="29" t="n">
        <x:f>$B20*(1+C30)</x:f>
        <x:v>9422960.967499997</x:v>
      </x:c>
      <x:c r="D20" s="29" t="n">
        <x:f>$B20*(1+D30)</x:f>
        <x:v>10200112.3875</x:v>
      </x:c>
      <x:c r="E20" s="41" t="str">
        <x:v>Variação relativa ao CMV histórico</x:v>
      </x:c>
    </x:row>
    <x:row r="21" ht="30" customHeight="1">
      <x:c r="A21" s="1" t="str">
        <x:v>Frete</x:v>
      </x:c>
      <x:c r="B21" s="29" t="n">
        <x:f>SUMIFS('Vendas'!$K$6:$K$437,'Vendas'!$A$6:$A$437,"&gt;="&amp;$B$35,'Vendas'!$A$6:$A$437,"&lt;="&amp;$B$36)</x:f>
        <x:v>901787.3999999997</x:v>
      </x:c>
      <x:c r="C21" s="29" t="n">
        <x:f>$B21*(1+C31)</x:f>
        <x:v>811608.6599999997</x:v>
      </x:c>
      <x:c r="D21" s="29" t="n">
        <x:f>$B21*(1+D31)</x:f>
        <x:v>991966.1399999997</x:v>
      </x:c>
      <x:c r="E21" s="41" t="str">
        <x:v>Variação relativa ao custo histórico</x:v>
      </x:c>
    </x:row>
    <x:row r="22" ht="30" customHeight="1">
      <x:c r="A22" s="1" t="str">
        <x:v>Taxas de pagamento</x:v>
      </x:c>
      <x:c r="B22" s="29" t="n">
        <x:f>SUMIFS('Vendas'!$L$6:$L$437,'Vendas'!$A$6:$A$437,"&gt;="&amp;$B$35,'Vendas'!$A$6:$A$437,"&lt;="&amp;$B$36)</x:f>
        <x:v>378982.63000000006</x:v>
      </x:c>
      <x:c r="C22" s="29" t="n">
        <x:f>$B22</x:f>
        <x:v>378982.63000000006</x:v>
      </x:c>
      <x:c r="D22" s="29" t="n">
        <x:f>$B22</x:f>
        <x:v>378982.63000000006</x:v>
      </x:c>
      <x:c r="E22" s="41" t="str">
        <x:v>Constantes</x:v>
      </x:c>
    </x:row>
    <x:row r="23" ht="30" customHeight="1">
      <x:c r="A23" s="1" t="str">
        <x:v>Marketing</x:v>
      </x:c>
      <x:c r="B23" s="29" t="n">
        <x:f>SUMIFS('Vendas'!$M$6:$M$437,'Vendas'!$A$6:$A$437,"&gt;="&amp;$B$35,'Vendas'!$A$6:$A$437,"&lt;="&amp;$B$36)</x:f>
        <x:v>663123.6299999999</x:v>
      </x:c>
      <x:c r="C23" s="29" t="n">
        <x:f>$B23*(1+C32)</x:f>
        <x:v>729435.9929999999</x:v>
      </x:c>
      <x:c r="D23" s="29" t="n">
        <x:f>$B23*(1+D32)</x:f>
        <x:v>596811.2669999999</x:v>
      </x:c>
      <x:c r="E23" s="41" t="str">
        <x:v>Variação relativa ao investimento histórico</x:v>
      </x:c>
    </x:row>
    <x:row r="24" ht="30" customHeight="1">
      <x:c r="A24" s="1" t="str">
        <x:v>Contribuição</x:v>
      </x:c>
      <x:c r="B24" s="29" t="n">
        <x:f>B19-SUM(B20:B23)</x:f>
        <x:v>4132658.3900000006</x:v>
      </x:c>
      <x:c r="C24" s="29" t="n">
        <x:f>C19-SUM(C20:C23)</x:f>
        <x:v>4447956.549500002</x:v>
      </x:c>
      <x:c r="D24" s="29" t="n">
        <x:f>D19-SUM(D20:D23)</x:f>
        <x:v>3623072.375500001</x:v>
      </x:c>
      <x:c r="E24" s="41" t="str">
        <x:v>Receita líquida − CMV − frete − taxas − marketing</x:v>
      </x:c>
    </x:row>
    <x:row r="25" ht="30" customHeight="1">
      <x:c r="A25" s="1" t="str">
        <x:v>Margem de contribuição</x:v>
      </x:c>
      <x:c r="B25" s="37" t="n">
        <x:f>IF(B19=0,"",B24/B19)</x:f>
        <x:v>0.261710647611155</x:v>
      </x:c>
      <x:c r="C25" s="37" t="n">
        <x:f>IF(C19=0,"",C24/C19)</x:f>
        <x:v>0.28167767070530203</x:v>
      </x:c>
      <x:c r="D25" s="37" t="n">
        <x:f>IF(D19=0,"",D24/D19)</x:f>
        <x:v>0.22943987338237043</x:v>
      </x:c>
      <x:c r="E25" s="41" t="str">
        <x:v>Contribuição / receita líquida</x:v>
      </x:c>
    </x:row>
    <x:row r="26" ht="30" customHeight="1">
      <x:c r="A26" s="1" t="str">
        <x:v>Variação da contribuição</x:v>
      </x:c>
      <x:c r="B26" s="29" t="n">
        <x:f>B24-$B$24</x:f>
        <x:v>0</x:v>
      </x:c>
      <x:c r="C26" s="29" t="n">
        <x:f>C24-$B$24</x:f>
        <x:v>315298.159500001</x:v>
      </x:c>
      <x:c r="D26" s="29" t="n">
        <x:f>D24-$B$24</x:f>
        <x:v>-509586.0144999996</x:v>
      </x:c>
      <x:c r="E26" s="41" t="str">
        <x:v>Simulação menos base histórica</x:v>
      </x:c>
    </x:row>
    <x:row r="27" ht="30" customHeight="1">
      <x:c r="A27" s="1"/>
      <x:c r="B27" s="1"/>
      <x:c r="C27" s="1"/>
      <x:c r="D27" s="1"/>
      <x:c r="E27" s="41"/>
    </x:row>
    <x:row r="28" ht="30" customHeight="1">
      <x:c r="A28" s="1"/>
      <x:c r="B28" s="1"/>
      <x:c r="C28" s="1"/>
      <x:c r="D28" s="1"/>
      <x:c r="E28" s="41"/>
    </x:row>
    <x:row r="29" ht="30" customHeight="1">
      <x:c r="A29" s="7" t="str">
        <x:v>Premissa relativa</x:v>
      </x:c>
      <x:c r="B29" s="7" t="str">
        <x:v>Referência</x:v>
      </x:c>
      <x:c r="C29" s="7" t="str">
        <x:v>Simulação A</x:v>
      </x:c>
      <x:c r="D29" s="7" t="str">
        <x:v>Simulação B</x:v>
      </x:c>
      <x:c r="E29" s="8" t="str">
        <x:v>Interpretação</x:v>
      </x:c>
    </x:row>
    <x:row r="30" ht="30" customHeight="1">
      <x:c r="A30" s="1" t="str">
        <x:v>Variação do CMV</x:v>
      </x:c>
      <x:c r="B30" s="37" t="n">
        <x:v>0</x:v>
      </x:c>
      <x:c r="C30" s="38" t="n">
        <x:v>-0.03</x:v>
      </x:c>
      <x:c r="D30" s="38" t="n">
        <x:v>0.05</x:v>
      </x:c>
      <x:c r="E30" s="41" t="str">
        <x:v>−3% reduz o custo; +5% aumenta o custo</x:v>
      </x:c>
    </x:row>
    <x:row r="31" ht="30" customHeight="1">
      <x:c r="A31" s="1" t="str">
        <x:v>Variação do frete</x:v>
      </x:c>
      <x:c r="B31" s="37" t="n">
        <x:v>0</x:v>
      </x:c>
      <x:c r="C31" s="38" t="n">
        <x:v>-0.1</x:v>
      </x:c>
      <x:c r="D31" s="38" t="n">
        <x:v>0.1</x:v>
      </x:c>
      <x:c r="E31" s="41" t="str">
        <x:v>Não pressupõe mudança de prazo ou volume</x:v>
      </x:c>
    </x:row>
    <x:row r="32" ht="30" customHeight="1">
      <x:c r="A32" s="1" t="str">
        <x:v>Variação de marketing</x:v>
      </x:c>
      <x:c r="B32" s="37" t="n">
        <x:v>0</x:v>
      </x:c>
      <x:c r="C32" s="38" t="n">
        <x:v>0.1</x:v>
      </x:c>
      <x:c r="D32" s="38" t="n">
        <x:v>-0.1</x:v>
      </x:c>
      <x:c r="E32" s="41" t="str">
        <x:v>Não pressupõe mudança de clientes ou receita</x:v>
      </x:c>
    </x:row>
    <x:row r="33" ht="30" customHeight="1">
      <x:c r="A33" s="1"/>
      <x:c r="B33" s="1"/>
      <x:c r="C33" s="1"/>
      <x:c r="D33" s="1"/>
      <x:c r="E33" s="41"/>
    </x:row>
    <x:row r="34" ht="30" customHeight="1">
      <x:c r="A34" s="1"/>
      <x:c r="B34" s="1"/>
      <x:c r="C34" s="1"/>
      <x:c r="D34" s="1"/>
      <x:c r="E34" s="41"/>
    </x:row>
    <x:row r="35" ht="30" customHeight="1">
      <x:c r="A35" s="1" t="str">
        <x:v>Início da base</x:v>
      </x:c>
      <x:c r="B35" s="39" t="n">
        <x:v>45658</x:v>
      </x:c>
      <x:c r="C35" s="1"/>
      <x:c r="D35" s="1"/>
      <x:c r="E35" s="41"/>
    </x:row>
    <x:row r="36" ht="30" customHeight="1">
      <x:c r="A36" s="1" t="str">
        <x:v>Fim da base</x:v>
      </x:c>
      <x:c r="B36" s="39" t="n">
        <x:v>45962</x:v>
      </x:c>
      <x:c r="C36" s="1"/>
      <x:c r="D36" s="1"/>
      <x:c r="E36" s="41"/>
    </x:row>
  </x:sheetData>
  <x:conditionalFormatting sqref="B12:D12">
    <x:cfRule type="cellIs" dxfId="1" priority="1" operator="notEqual">
      <x:formula>0</x:formula>
    </x:cfRule>
  </x:conditionalFormatting>
  <x:dataValidations count="2">
    <x:dataValidation type="decimal" operator="greaterThanOrEqual" sqref="B6:D9">
      <x:formula1>0</x:formula1>
    </x:dataValidation>
    <x:dataValidation type="decimal" operator="greaterThanOrEqual" sqref="C30:D32">
      <x:formula1>-1</x:formula1>
    </x:dataValidation>
  </x:dataValidation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16" hidden="0" customWidth="1"/>
    <x:col min="2" max="2" width="32" hidden="0" customWidth="1"/>
    <x:col min="3" max="3" width="16" hidden="0" customWidth="1"/>
    <x:col min="4" max="4" width="72" hidden="0" customWidth="1"/>
    <x:col min="5" max="5" width="34" hidden="0" customWidth="1"/>
    <x:col min="6" max="6" width="19" hidden="0" customWidth="1"/>
    <x:col min="7" max="7" width="68" hidden="0" customWidth="1"/>
  </x:cols>
  <x:sheetData>
    <x:row r="1" ht="32" customHeight="1">
      <x:c r="A1" s="4" t="str">
        <x:v>Exercícios com a base</x:v>
      </x:c>
      <x:c r="B1" s="1"/>
      <x:c r="C1" s="1"/>
      <x:c r="D1" s="1"/>
      <x:c r="E1" s="1"/>
      <x:c r="F1" s="1"/>
      <x:c r="G1" s="1"/>
    </x:row>
    <x:row r="2" ht="22" customHeight="1">
      <x:c r="A2" s="5" t="str">
        <x:v>Sete atividades da aula e 12 desafios adicionais · registre suas respostas na aplicação ou em um documento</x:v>
      </x:c>
      <x:c r="B2" s="1"/>
      <x:c r="C2" s="1"/>
      <x:c r="D2" s="1"/>
      <x:c r="E2" s="1"/>
      <x:c r="F2" s="1"/>
      <x:c r="G2" s="1"/>
    </x:row>
    <x:row r="3" ht="10" customHeight="1">
      <x:c r="A3" s="3"/>
      <x:c r="B3" s="3"/>
      <x:c r="C3" s="3"/>
      <x:c r="D3" s="3"/>
      <x:c r="E3" s="3"/>
      <x:c r="F3" s="3"/>
      <x:c r="G3" s="3"/>
    </x:row>
    <x:row r="4" ht="10" customHeight="1">
      <x:c r="A4" s="1"/>
      <x:c r="B4" s="1"/>
      <x:c r="C4" s="1"/>
      <x:c r="D4" s="1"/>
      <x:c r="E4" s="1"/>
      <x:c r="F4" s="1"/>
      <x:c r="G4" s="1"/>
    </x:row>
    <x:row r="5" ht="46" customHeight="1">
      <x:c r="A5" s="11" t="str">
        <x:v>ID</x:v>
      </x:c>
      <x:c r="B5" s="12" t="str">
        <x:v>Atividade</x:v>
      </x:c>
      <x:c r="C5" s="12" t="str">
        <x:v>Perspectiva</x:v>
      </x:c>
      <x:c r="D5" s="12" t="str">
        <x:v>Pergunta ou tarefa</x:v>
      </x:c>
      <x:c r="E5" s="12" t="str">
        <x:v>Abas e evidências</x:v>
      </x:c>
      <x:c r="F5" s="12" t="str">
        <x:v>Prompts</x:v>
      </x:c>
      <x:c r="G5" s="13" t="str">
        <x:v>Entrega e conferência</x:v>
      </x:c>
    </x:row>
    <x:row r="6" ht="106" customHeight="1">
      <x:c r="A6" s="42" t="str">
        <x:v>baseline</x:v>
      </x:c>
      <x:c r="B6" s="42" t="str">
        <x:v>Tentativa inicial</x:v>
      </x:c>
      <x:c r="C6" s="42" t="str">
        <x:v>Workshop</x:v>
      </x:c>
      <x:c r="D6" s="42" t="str">
        <x:v>Sem copiar os exemplos, escreva um prompt para entender se a Núcleo Casa está crescendo com qualidade. Use o CSV de vendas e o dicionário. Cole a resposta da IA e registre o modelo. Não é uma prova; é a linha de base.</x:v>
      </x:c>
      <x:c r="E6" s="42" t="str">
        <x:v>Vendas; Dicionario</x:v>
      </x:c>
      <x:c r="F6" s="42" t="str">
        <x:v>Sem modelo de prompt</x:v>
      </x:c>
      <x:c r="G6" s="42" t="str">
        <x:v>Prompt inicial + resposta + modelo. Use somente o caso fictício. Não tente esconder erros: eles ajudam a comparação.</x:v>
      </x:c>
    </x:row>
    <x:row r="7" ht="106" customHeight="1">
      <x:c r="A7" s="42" t="str">
        <x:v>auditoria</x:v>
      </x:c>
      <x:c r="B7" s="42" t="str">
        <x:v>A evidência vem antes da opinião</x:v>
      </x:c>
      <x:c r="C7" s="42" t="str">
        <x:v>Workshop</x:v>
      </x:c>
      <x:c r="D7" s="42" t="str">
        <x:v>Verifique a base, identifique três indicadores calculáveis e dois que não podem ser calculados. Peça fórmulas, fontes e limitações.</x:v>
      </x:c>
      <x:c r="E7" s="42" t="str">
        <x:v>Vendas; Pessoas; Estoque; Resumo</x:v>
      </x:c>
      <x:c r="F7" s="42" t="str">
        <x:v>P04–P06</x:v>
      </x:c>
      <x:c r="G7" s="42" t="str">
        <x:v>Prompt + resultado com um teste conferido manualmente. Compare totais e granularidade. Não use LTV ou fluxo de caixa como se estivessem na base.</x:v>
      </x:c>
    </x:row>
    <x:row r="8" ht="106" customHeight="1">
      <x:c r="A8" s="42" t="str">
        <x:v>cadeira</x:v>
      </x:c>
      <x:c r="B8" s="42" t="str">
        <x:v>Assuma uma cadeira do conselho</x:v>
      </x:c>
      <x:c r="C8" s="42" t="str">
        <x:v>Workshop</x:v>
      </x:c>
      <x:c r="D8" s="42" t="str">
        <x:v>Escolha CEO, CFO, COO, CMO ou CHRO. Produza uma recomendação com duas evidências, uma hipótese alternativa e um guardrail. Registre seu grupo no envio.</x:v>
      </x:c>
      <x:c r="E8" s="42" t="str">
        <x:v>Vendas; Pessoas; Estoque; Canais; Regioes</x:v>
      </x:c>
      <x:c r="F8" s="42" t="str">
        <x:v>P07–P21</x:v>
      </x:c>
      <x:c r="G8" s="42" t="str">
        <x:v>Prompt por função + resposta com evidências. A melhor recomendação não é necessariamente a mais longa. Verifique pelo menos um cálculo.</x:v>
      </x:c>
    </x:row>
    <x:row r="9" ht="106" customHeight="1">
      <x:c r="A9" s="42" t="str">
        <x:v>revisao</x:v>
      </x:c>
      <x:c r="B9" s="42" t="str">
        <x:v>Reescreva e compare</x:v>
      </x:c>
      <x:c r="C9" s="42" t="str">
        <x:v>Workshop</x:v>
      </x:c>
      <x:c r="D9" s="42" t="str">
        <x:v>Volte à pergunta da tentativa inicial. Melhore o prompt com contexto, critérios, fontes e limites. Mantenha, quando possível, a mesma IA, base e configurações. Compare a qualidade, não apenas o estilo.</x:v>
      </x:c>
      <x:c r="E9" s="42" t="str">
        <x:v>Vendas; Dicionario; tentativa inicial</x:v>
      </x:c>
      <x:c r="F9" s="42" t="str">
        <x:v>P31–P32</x:v>
      </x:c>
      <x:c r="G9" s="42" t="str">
        <x:v>Prompt revisado + resposta + o que melhorou e o que ainda falhou. Copie sua tentativa inicial antes da revisão. Diferença de modelo é uma variável de confusão.</x:v>
      </x:c>
    </x:row>
    <x:row r="10" ht="106" customHeight="1">
      <x:c r="A10" s="42" t="str">
        <x:v>dashboard</x:v>
      </x:c>
      <x:c r="B10" s="42" t="str">
        <x:v>Uma tela que ajuda a decidir</x:v>
      </x:c>
      <x:c r="C10" s="42" t="str">
        <x:v>Workshop</x:v>
      </x:c>
      <x:c r="D10" s="42" t="str">
        <x:v>Peça um dashboard com até seis KPIs rastreáveis para proteger margem e serviço. Cole o wireframe textual ou anexe o arquivo produzido.</x:v>
      </x:c>
      <x:c r="E10" s="42" t="str">
        <x:v>Mensal; Canais; Resumo</x:v>
      </x:c>
      <x:c r="F10" s="42" t="str">
        <x:v>P25–P27</x:v>
      </x:c>
      <x:c r="G10" s="42" t="str">
        <x:v>Prompt + wireframe ou arquivo + fórmula de cada KPI. Um gráfico bonito não compensa um denominador errado. Não precisa programar.</x:v>
      </x:c>
    </x:row>
    <x:row r="11" ht="106" customHeight="1">
      <x:c r="A11" s="42" t="str">
        <x:v>conselho</x:v>
      </x:c>
      <x:c r="B11" s="42" t="str">
        <x:v>Decisão coletiva com limites</x:v>
      </x:c>
      <x:c r="C11" s="42" t="str">
        <x:v>Workshop</x:v>
      </x:c>
      <x:c r="D11" s="42" t="str">
        <x:v>Simule cinco cadeiras e distribua o orçamento hipotético de R$ 1,2 milhão. Registre reserva, divergências, gatilhos e revisão em 30 dias. Confira a soma.</x:v>
      </x:c>
      <x:c r="E11" s="42" t="str">
        <x:v>Cenarios; Fontes; análises por cadeira</x:v>
      </x:c>
      <x:c r="F11" s="42" t="str">
        <x:v>P28–P30</x:v>
      </x:c>
      <x:c r="G11" s="42" t="str">
        <x:v>Prompt + ata/resultado + verificação do orçamento. Perspectivas da mesma IA não são cinco especialistas independentes.</x:v>
      </x:c>
    </x:row>
    <x:row r="12" ht="106" customHeight="1">
      <x:c r="A12" s="42" t="str">
        <x:v>plano</x:v>
      </x:c>
      <x:c r="B12" s="42" t="str">
        <x:v>Sete dias para devolver tempo</x:v>
      </x:c>
      <x:c r="C12" s="42" t="str">
        <x:v>Workshop</x:v>
      </x:c>
      <x:c r="D12" s="42" t="str">
        <x:v>Escolha uma tarefa de sua rotina e desenhe um teste de sete dias com validação humana. Não inclua dados pessoais ou confidenciais.</x:v>
      </x:c>
      <x:c r="E12" s="42" t="str">
        <x:v>Aprendizados e registros do participante</x:v>
      </x:c>
      <x:c r="F12" s="42" t="str">
        <x:v>P33</x:v>
      </x:c>
      <x:c r="G12" s="42" t="str">
        <x:v>Prompt adaptado + plano de uso + como medir qualidade e tempo. Meça o antes e o depois. Não prometa um ganho que ainda não mediu.</x:v>
      </x:c>
    </x:row>
    <x:row r="13" ht="106" customHeight="1">
      <x:c r="A13" s="42" t="str">
        <x:v>D01</x:v>
      </x:c>
      <x:c r="B13" s="42" t="str">
        <x:v>Crescimento e margem</x:v>
      </x:c>
      <x:c r="C13" s="42" t="str">
        <x:v>CEO</x:v>
      </x:c>
      <x:c r="D13" s="42" t="str">
        <x:v>Compare 2023, 2024 e 2025. Receita e contribuição cresceram na mesma proporção?</x:v>
      </x:c>
      <x:c r="E13" s="42" t="str">
        <x:v>Resumo; Canais; Vendas</x:v>
      </x:c>
      <x:c r="F13" s="42" t="str">
        <x:v>P07–P10</x:v>
      </x:c>
      <x:c r="G13" s="42" t="str">
        <x:v>Mostre variação anual em R$ e %, e dois IDs por achado.</x:v>
      </x:c>
    </x:row>
    <x:row r="14" ht="106" customHeight="1">
      <x:c r="A14" s="42" t="str">
        <x:v>D02</x:v>
      </x:c>
      <x:c r="B14" s="42" t="str">
        <x:v>Mix de canais</x:v>
      </x:c>
      <x:c r="C14" s="42" t="str">
        <x:v>CEO</x:v>
      </x:c>
      <x:c r="D14" s="42" t="str">
        <x:v>Calcule a participação de cada canal na receita e na contribuição em 2025.</x:v>
      </x:c>
      <x:c r="E14" s="42" t="str">
        <x:v>Canais; Vendas</x:v>
      </x:c>
      <x:c r="F14" s="42" t="str">
        <x:v>P07–P09</x:v>
      </x:c>
      <x:c r="G14" s="42" t="str">
        <x:v>As participações de cada indicador devem somar 100%.</x:v>
      </x:c>
    </x:row>
    <x:row r="15" ht="106" customHeight="1">
      <x:c r="A15" s="42" t="str">
        <x:v>D03</x:v>
      </x:c>
      <x:c r="B15" s="42" t="str">
        <x:v>Descontos e devoluções</x:v>
      </x:c>
      <x:c r="C15" s="42" t="str">
        <x:v>CFO</x:v>
      </x:c>
      <x:c r="D15" s="42" t="str">
        <x:v>Explique a ponte entre receita bruta e líquida por ano.</x:v>
      </x:c>
      <x:c r="E15" s="42" t="str">
        <x:v>Vendas; Mensal</x:v>
      </x:c>
      <x:c r="F15" s="42" t="str">
        <x:v>P10</x:v>
      </x:c>
      <x:c r="G15" s="42" t="str">
        <x:v>Reconcilie bruta − descontos − devoluções = líquida.</x:v>
      </x:c>
    </x:row>
    <x:row r="16" ht="106" customHeight="1">
      <x:c r="A16" s="42" t="str">
        <x:v>D04</x:v>
      </x:c>
      <x:c r="B16" s="42" t="str">
        <x:v>Sensibilidade dos custos</x:v>
      </x:c>
      <x:c r="C16" s="42" t="str">
        <x:v>CFO</x:v>
      </x:c>
      <x:c r="D16" s="42" t="str">
        <x:v>Varie CMV, frete e marketing e compare o efeito na contribuição.</x:v>
      </x:c>
      <x:c r="E16" s="42" t="str">
        <x:v>Cenarios; Vendas</x:v>
      </x:c>
      <x:c r="F16" s="42" t="str">
        <x:v>P11</x:v>
      </x:c>
      <x:c r="G16" s="42" t="str">
        <x:v>Separe valores históricos de hipóteses; confira manualmente uma simulação.</x:v>
      </x:c>
    </x:row>
    <x:row r="17" ht="106" customHeight="1">
      <x:c r="A17" s="42" t="str">
        <x:v>D05</x:v>
      </x:c>
      <x:c r="B17" s="42" t="str">
        <x:v>Atrasos no Sudeste</x:v>
      </x:c>
      <x:c r="C17" s="42" t="str">
        <x:v>COO</x:v>
      </x:c>
      <x:c r="D17" s="42" t="str">
        <x:v>Compare E-commerce/Sudeste em jan–ago e set–nov/2025 e com as demais regiões.</x:v>
      </x:c>
      <x:c r="E17" s="42" t="str">
        <x:v>Vendas; Fontes LOG-01</x:v>
      </x:c>
      <x:c r="F17" s="42" t="str">
        <x:v>P13–P15</x:v>
      </x:c>
      <x:c r="G17" s="42" t="str">
        <x:v>Some atrasos e pedidos por período; não use média simples de taxas nem atribua causa.</x:v>
      </x:c>
    </x:row>
    <x:row r="18" ht="106" customHeight="1">
      <x:c r="A18" s="42" t="str">
        <x:v>D06</x:v>
      </x:c>
      <x:c r="B18" s="42" t="str">
        <x:v>Giro e ruptura</x:v>
      </x:c>
      <x:c r="C18" s="42" t="str">
        <x:v>COO</x:v>
      </x:c>
      <x:c r="D18" s="42" t="str">
        <x:v>Compare giro mensal e ruptura no início e fim da série.</x:v>
      </x:c>
      <x:c r="E18" s="42" t="str">
        <x:v>Estoque; Mensal</x:v>
      </x:c>
      <x:c r="F18" s="42" t="str">
        <x:v>P14</x:v>
      </x:c>
      <x:c r="G18" s="42" t="str">
        <x:v>Confira o CMV de um mês. Não some saldos de estoque como fluxo.</x:v>
      </x:c>
    </x:row>
    <x:row r="19" ht="106" customHeight="1">
      <x:c r="A19" s="42" t="str">
        <x:v>D07</x:v>
      </x:c>
      <x:c r="B19" s="42" t="str">
        <x:v>CAC por canal</x:v>
      </x:c>
      <x:c r="C19" s="42" t="str">
        <x:v>CMO</x:v>
      </x:c>
      <x:c r="D19" s="42" t="str">
        <x:v>Calcule CAC anual por canal e compare com a contribuição.</x:v>
      </x:c>
      <x:c r="E19" s="42" t="str">
        <x:v>Canais; Vendas</x:v>
      </x:c>
      <x:c r="F19" s="42" t="str">
        <x:v>P16–P18</x:v>
      </x:c>
      <x:c r="G19" s="42" t="str">
        <x:v>Marketing / novos_clientes no mesmo recorte. Não calcule retenção com pedidos.</x:v>
      </x:c>
    </x:row>
    <x:row r="20" ht="106" customHeight="1">
      <x:c r="A20" s="42" t="str">
        <x:v>D08</x:v>
      </x:c>
      <x:c r="B20" s="42" t="str">
        <x:v>NPS e serviço</x:v>
      </x:c>
      <x:c r="C20" s="42" t="str">
        <x:v>CMO</x:v>
      </x:c>
      <x:c r="D20" s="42" t="str">
        <x:v>Compare NPS e atrasos por canal entre 2024 e 2025.</x:v>
      </x:c>
      <x:c r="E20" s="42" t="str">
        <x:v>Canais; Vendas</x:v>
      </x:c>
      <x:c r="F20" s="42" t="str">
        <x:v>P16–P17</x:v>
      </x:c>
      <x:c r="G20" s="42" t="str">
        <x:v>Use os totais de promotores, detratores e respostas; não afirme causalidade.</x:v>
      </x:c>
    </x:row>
    <x:row r="21" ht="106" customHeight="1">
      <x:c r="A21" s="42" t="str">
        <x:v>D09</x:v>
      </x:c>
      <x:c r="B21" s="42" t="str">
        <x:v>Capacidade de pessoas</x:v>
      </x:c>
      <x:c r="C21" s="42" t="str">
        <x:v>CHRO</x:v>
      </x:c>
      <x:c r="D21" s="42" t="str">
        <x:v>Compare absenteísmo, horas extras e turnover mensal com o volume de pedidos.</x:v>
      </x:c>
      <x:c r="E21" s="42" t="str">
        <x:v>Pessoas; Mensal</x:v>
      </x:c>
      <x:c r="F21" s="42" t="str">
        <x:v>P19–P21</x:v>
      </x:c>
      <x:c r="G21" s="42" t="str">
        <x:v>Faça o cruzamento mês a mês, com uma linha por competência.</x:v>
      </x:c>
    </x:row>
    <x:row r="22" ht="106" customHeight="1">
      <x:c r="A22" s="42" t="str">
        <x:v>D10</x:v>
      </x:c>
      <x:c r="B22" s="42" t="str">
        <x:v>Sazonalidade</x:v>
      </x:c>
      <x:c r="C22" s="42" t="str">
        <x:v>CEO</x:v>
      </x:c>
      <x:c r="D22" s="42" t="str">
        <x:v>Compare novembro e dezembro com os outros meses em cada ano.</x:v>
      </x:c>
      <x:c r="E22" s="42" t="str">
        <x:v>Mensal; Vendas</x:v>
      </x:c>
      <x:c r="F22" s="42" t="str">
        <x:v>P07</x:v>
      </x:c>
      <x:c r="G22" s="42" t="str">
        <x:v>Declare se o dado está disponível na data de decisão; dezembro é completo e didático.</x:v>
      </x:c>
    </x:row>
    <x:row r="23" ht="106" customHeight="1">
      <x:c r="A23" s="42" t="str">
        <x:v>D11</x:v>
      </x:c>
      <x:c r="B23" s="42" t="str">
        <x:v>Limites da evidência</x:v>
      </x:c>
      <x:c r="C23" s="42" t="str">
        <x:v>RAG</x:v>
      </x:c>
      <x:c r="D23" s="42" t="str">
        <x:v>Responda qual transportadora explica os atrasos e qual é a recompra.</x:v>
      </x:c>
      <x:c r="E23" s="42" t="str">
        <x:v>Fontes; Dicionario; Vendas</x:v>
      </x:c>
      <x:c r="F23" s="42" t="str">
        <x:v>P22–P24</x:v>
      </x:c>
      <x:c r="G23" s="42" t="str">
        <x:v>Reconheça que ambas as respostas são indisponíveis e especifique os dados faltantes.</x:v>
      </x:c>
    </x:row>
    <x:row r="24" ht="106" customHeight="1">
      <x:c r="A24" s="42" t="str">
        <x:v>D12</x:v>
      </x:c>
      <x:c r="B24" s="42" t="str">
        <x:v>Alocação com reserva</x:v>
      </x:c>
      <x:c r="C24" s="42" t="str">
        <x:v>Conselho</x:v>
      </x:c>
      <x:c r="D24" s="42" t="str">
        <x:v>Compare três alocações e escolha uma com guardrail e revisão em 30 dias.</x:v>
      </x:c>
      <x:c r="E24" s="42" t="str">
        <x:v>Cenarios; Fontes CON-01</x:v>
      </x:c>
      <x:c r="F24" s="42" t="str">
        <x:v>P12; P28–P30</x:v>
      </x:c>
      <x:c r="G24" s="42" t="str">
        <x:v>Alocações + reserva = R$ 1,2 milhão. Não prometa retorno calculável na base.</x:v>
      </x:c>
    </x:row>
  </x:sheetData>
  <x:pageMargins left="0.7" right="0.7" top="0.75" bottom="0.75" header="0.3" footer="0.3"/>
  <x:tableParts count="1">
    <x:tablePart xmlns:r="http://schemas.openxmlformats.org/officeDocument/2006/relationships" r:id="R844cc6bc8e064f01"/>
  </x:tableParts>
</x:worksheet>
</file>

<file path=xl/worksheets/sheet11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2" hidden="0" customWidth="1"/>
    <x:col min="2" max="2" width="38" hidden="0" customWidth="1"/>
    <x:col min="3" max="3" width="23" hidden="0" customWidth="1"/>
    <x:col min="4" max="4" width="78" hidden="0" customWidth="1"/>
    <x:col min="5" max="5" width="78" hidden="0" customWidth="1"/>
  </x:cols>
  <x:sheetData>
    <x:row r="1" ht="32" customHeight="1">
      <x:c r="A1" s="4" t="str">
        <x:v>Dicionário de dados e indicadores</x:v>
      </x:c>
      <x:c r="B1" s="1"/>
      <x:c r="C1" s="1"/>
      <x:c r="D1" s="1"/>
      <x:c r="E1" s="1"/>
    </x:row>
    <x:row r="2" ht="22" customHeight="1">
      <x:c r="A2" s="5" t="str">
        <x:v>Unidades, definições e regras de agregação · nomes originais mantidos para uso com os prompts</x:v>
      </x:c>
      <x:c r="B2" s="1"/>
      <x:c r="C2" s="1"/>
      <x:c r="D2" s="1"/>
      <x:c r="E2" s="1"/>
    </x:row>
    <x:row r="3" ht="10" customHeight="1">
      <x:c r="A3" s="3"/>
      <x:c r="B3" s="3"/>
      <x:c r="C3" s="3"/>
      <x:c r="D3" s="3"/>
      <x:c r="E3" s="3"/>
    </x:row>
    <x:row r="4" ht="10" customHeight="1">
      <x:c r="A4" s="1"/>
      <x:c r="B4" s="1"/>
      <x:c r="C4" s="1"/>
      <x:c r="D4" s="1"/>
      <x:c r="E4" s="1"/>
    </x:row>
    <x:row r="5" ht="46" customHeight="1">
      <x:c r="A5" s="11" t="str">
        <x:v>Aba</x:v>
      </x:c>
      <x:c r="B5" s="12" t="str">
        <x:v>Campo</x:v>
      </x:c>
      <x:c r="C5" s="12" t="str">
        <x:v>Unidade</x:v>
      </x:c>
      <x:c r="D5" s="12" t="str">
        <x:v>Definição ou fórmula</x:v>
      </x:c>
      <x:c r="E5" s="13" t="str">
        <x:v>Como agregar e interpretar</x:v>
      </x:c>
    </x:row>
    <x:row r="6" ht="58" customHeight="1">
      <x:c r="A6" s="30" t="str">
        <x:v>Vendas</x:v>
      </x:c>
      <x:c r="B6" s="30" t="str">
        <x:v>mes</x:v>
      </x:c>
      <x:c r="C6" s="30" t="str">
        <x:v>mês</x:v>
      </x:c>
      <x:c r="D6" s="30" t="str">
        <x:v>Competência mensal. Não é data de recebimento.</x:v>
      </x:c>
      <x:c r="E6" s="30" t="str">
        <x:v>Chave para cruzar bases após consolidar vendas.</x:v>
      </x:c>
    </x:row>
    <x:row r="7" ht="58" customHeight="1">
      <x:c r="A7" s="30" t="str">
        <x:v>Vendas</x:v>
      </x:c>
      <x:c r="B7" s="30" t="str">
        <x:v>canal</x:v>
      </x:c>
      <x:c r="C7" s="30" t="str">
        <x:v>texto</x:v>
      </x:c>
      <x:c r="D7" s="30" t="str">
        <x:v>E-commerce, Lojas ou B2B.</x:v>
      </x:c>
      <x:c r="E7" s="30" t="str">
        <x:v>Dimensão. Lojas reúne as 12 unidades do cenário.</x:v>
      </x:c>
    </x:row>
    <x:row r="8" ht="58" customHeight="1">
      <x:c r="A8" s="30" t="str">
        <x:v>Vendas</x:v>
      </x:c>
      <x:c r="B8" s="30" t="str">
        <x:v>regiao</x:v>
      </x:c>
      <x:c r="C8" s="30" t="str">
        <x:v>texto</x:v>
      </x:c>
      <x:c r="D8" s="30" t="str">
        <x:v>Sudeste, Nordeste, Sul ou Centro-Oeste.</x:v>
      </x:c>
      <x:c r="E8" s="30" t="str">
        <x:v>Dimensão comercial. Não há região Norte na base.</x:v>
      </x:c>
    </x:row>
    <x:row r="9" ht="58" customHeight="1">
      <x:c r="A9" s="30" t="str">
        <x:v>Vendas</x:v>
      </x:c>
      <x:c r="B9" s="30" t="str">
        <x:v>id</x:v>
      </x:c>
      <x:c r="C9" s="30" t="str">
        <x:v>texto</x:v>
      </x:c>
      <x:c r="D9" s="30" t="str">
        <x:v>Identificador estável do registro de origem.</x:v>
      </x:c>
      <x:c r="E9" s="30" t="str">
        <x:v>Não somar. Cite o ID para rastrear a evidência.</x:v>
      </x:c>
    </x:row>
    <x:row r="10" ht="58" customHeight="1">
      <x:c r="A10" s="30" t="str">
        <x:v>Vendas</x:v>
      </x:c>
      <x:c r="B10" s="30" t="str">
        <x:v>pedidos</x:v>
      </x:c>
      <x:c r="C10" s="30" t="str">
        <x:v>pedidos</x:v>
      </x:c>
      <x:c r="D10" s="30" t="str">
        <x:v>Quantidade de pedidos no recorte.</x:v>
      </x:c>
      <x:c r="E10" s="30" t="str">
        <x:v>Somar. Não equivale a clientes únicos.</x:v>
      </x:c>
    </x:row>
    <x:row r="11" ht="58" customHeight="1">
      <x:c r="A11" s="30" t="str">
        <x:v>Vendas</x:v>
      </x:c>
      <x:c r="B11" s="30" t="str">
        <x:v>receita_bruta</x:v>
      </x:c>
      <x:c r="C11" s="30" t="str">
        <x:v>R$</x:v>
      </x:c>
      <x:c r="D11" s="30" t="str">
        <x:v>Receita antes de descontos e devoluções.</x:v>
      </x:c>
      <x:c r="E11" s="30" t="str">
        <x:v>Somar. Total da base: R$ 48.600.000.</x:v>
      </x:c>
    </x:row>
    <x:row r="12" ht="58" customHeight="1">
      <x:c r="A12" s="30" t="str">
        <x:v>Vendas</x:v>
      </x:c>
      <x:c r="B12" s="30" t="str">
        <x:v>descontos</x:v>
      </x:c>
      <x:c r="C12" s="30" t="str">
        <x:v>R$</x:v>
      </x:c>
      <x:c r="D12" s="30" t="str">
        <x:v>Descontos comerciais concedidos.</x:v>
      </x:c>
      <x:c r="E12" s="30" t="str">
        <x:v>Somar. Taxa = descontos / receita_bruta.</x:v>
      </x:c>
    </x:row>
    <x:row r="13" ht="58" customHeight="1">
      <x:c r="A13" s="30" t="str">
        <x:v>Vendas</x:v>
      </x:c>
      <x:c r="B13" s="30" t="str">
        <x:v>devolucoes_valor</x:v>
      </x:c>
      <x:c r="C13" s="30" t="str">
        <x:v>R$</x:v>
      </x:c>
      <x:c r="D13" s="30" t="str">
        <x:v>Valor monetário das devoluções.</x:v>
      </x:c>
      <x:c r="E13" s="30" t="str">
        <x:v>Somar. Não confundir com quantidade de pedidos devolvidos.</x:v>
      </x:c>
    </x:row>
    <x:row r="14" ht="58" customHeight="1">
      <x:c r="A14" s="30" t="str">
        <x:v>Vendas</x:v>
      </x:c>
      <x:c r="B14" s="30" t="str">
        <x:v>receita_liquida</x:v>
      </x:c>
      <x:c r="C14" s="30" t="str">
        <x:v>R$</x:v>
      </x:c>
      <x:c r="D14" s="30" t="str">
        <x:v>receita_bruta − descontos − devolucoes_valor.</x:v>
      </x:c>
      <x:c r="E14" s="30" t="str">
        <x:v>Somar. Definição gerencial da simulação.</x:v>
      </x:c>
    </x:row>
    <x:row r="15" ht="58" customHeight="1">
      <x:c r="A15" s="30" t="str">
        <x:v>Vendas</x:v>
      </x:c>
      <x:c r="B15" s="30" t="str">
        <x:v>cmv</x:v>
      </x:c>
      <x:c r="C15" s="30" t="str">
        <x:v>R$</x:v>
      </x:c>
      <x:c r="D15" s="30" t="str">
        <x:v>Custo das mercadorias vendidas.</x:v>
      </x:c>
      <x:c r="E15" s="30" t="str">
        <x:v>Somar. Reconciliar por mês com cmv_mes do estoque.</x:v>
      </x:c>
    </x:row>
    <x:row r="16" ht="58" customHeight="1">
      <x:c r="A16" s="30" t="str">
        <x:v>Vendas</x:v>
      </x:c>
      <x:c r="B16" s="30" t="str">
        <x:v>frete_custo</x:v>
      </x:c>
      <x:c r="C16" s="30" t="str">
        <x:v>R$</x:v>
      </x:c>
      <x:c r="D16" s="30" t="str">
        <x:v>Custo de frete do recorte.</x:v>
      </x:c>
      <x:c r="E16" s="30" t="str">
        <x:v>Somar. Não identifica transportadora.</x:v>
      </x:c>
    </x:row>
    <x:row r="17" ht="58" customHeight="1">
      <x:c r="A17" s="30" t="str">
        <x:v>Vendas</x:v>
      </x:c>
      <x:c r="B17" s="30" t="str">
        <x:v>taxas_pagamento</x:v>
      </x:c>
      <x:c r="C17" s="30" t="str">
        <x:v>R$</x:v>
      </x:c>
      <x:c r="D17" s="30" t="str">
        <x:v>Custos dos meios de pagamento.</x:v>
      </x:c>
      <x:c r="E17" s="30" t="str">
        <x:v>Somar. Não corresponde a todos os tributos.</x:v>
      </x:c>
    </x:row>
    <x:row r="18" ht="58" customHeight="1">
      <x:c r="A18" s="30" t="str">
        <x:v>Vendas</x:v>
      </x:c>
      <x:c r="B18" s="30" t="str">
        <x:v>marketing_investimento</x:v>
      </x:c>
      <x:c r="C18" s="30" t="str">
        <x:v>R$</x:v>
      </x:c>
      <x:c r="D18" s="30" t="str">
        <x:v>Investimento de marketing atribuído ao recorte.</x:v>
      </x:c>
      <x:c r="E18" s="30" t="str">
        <x:v>Somar. Não comprova causalidade de vendas.</x:v>
      </x:c>
    </x:row>
    <x:row r="19" ht="58" customHeight="1">
      <x:c r="A19" s="30" t="str">
        <x:v>Vendas</x:v>
      </x:c>
      <x:c r="B19" s="30" t="str">
        <x:v>novos_clientes</x:v>
      </x:c>
      <x:c r="C19" s="30" t="str">
        <x:v>clientes atribuídos</x:v>
      </x:c>
      <x:c r="D19" s="30" t="str">
        <x:v>Novos clientes atribuídos a uma linha.</x:v>
      </x:c>
      <x:c r="E19" s="30" t="str">
        <x:v>Somar para CAC gerencial. Não existe histórico por cliente.</x:v>
      </x:c>
    </x:row>
    <x:row r="20" ht="58" customHeight="1">
      <x:c r="A20" s="30" t="str">
        <x:v>Vendas</x:v>
      </x:c>
      <x:c r="B20" s="30" t="str">
        <x:v>pedidos_atrasados</x:v>
      </x:c>
      <x:c r="C20" s="30" t="str">
        <x:v>pedidos</x:v>
      </x:c>
      <x:c r="D20" s="30" t="str">
        <x:v>Pedidos classificados como atrasados.</x:v>
      </x:c>
      <x:c r="E20" s="30" t="str">
        <x:v>Somar. Dividir pelo total de pedidos no mesmo recorte.</x:v>
      </x:c>
    </x:row>
    <x:row r="21" ht="58" customHeight="1">
      <x:c r="A21" s="30" t="str">
        <x:v>Vendas</x:v>
      </x:c>
      <x:c r="B21" s="30" t="str">
        <x:v>devolucoes_pedidos</x:v>
      </x:c>
      <x:c r="C21" s="30" t="str">
        <x:v>pedidos</x:v>
      </x:c>
      <x:c r="D21" s="30" t="str">
        <x:v>Pedidos devolvidos.</x:v>
      </x:c>
      <x:c r="E21" s="30" t="str">
        <x:v>Somar. Dividir por pedidos, não por receita.</x:v>
      </x:c>
    </x:row>
    <x:row r="22" ht="58" customHeight="1">
      <x:c r="A22" s="30" t="str">
        <x:v>Vendas</x:v>
      </x:c>
      <x:c r="B22" s="30" t="str">
        <x:v>respostas_nps</x:v>
      </x:c>
      <x:c r="C22" s="30" t="str">
        <x:v>respostas</x:v>
      </x:c>
      <x:c r="D22" s="30" t="str">
        <x:v>Quantidade de respostas à pesquisa.</x:v>
      </x:c>
      <x:c r="E22" s="30" t="str">
        <x:v>Somar. Denominador do NPS.</x:v>
      </x:c>
    </x:row>
    <x:row r="23" ht="58" customHeight="1">
      <x:c r="A23" s="30" t="str">
        <x:v>Vendas</x:v>
      </x:c>
      <x:c r="B23" s="30" t="str">
        <x:v>promotores_nps</x:v>
      </x:c>
      <x:c r="C23" s="30" t="str">
        <x:v>respostas</x:v>
      </x:c>
      <x:c r="D23" s="30" t="str">
        <x:v>Quantidade de promotores na amostra.</x:v>
      </x:c>
      <x:c r="E23" s="30" t="str">
        <x:v>Somar. Não exceder respostas com detratores.</x:v>
      </x:c>
    </x:row>
    <x:row r="24" ht="58" customHeight="1">
      <x:c r="A24" s="30" t="str">
        <x:v>Vendas</x:v>
      </x:c>
      <x:c r="B24" s="30" t="str">
        <x:v>detratores_nps</x:v>
      </x:c>
      <x:c r="C24" s="30" t="str">
        <x:v>respostas</x:v>
      </x:c>
      <x:c r="D24" s="30" t="str">
        <x:v>Quantidade de detratores na amostra.</x:v>
      </x:c>
      <x:c r="E24" s="30" t="str">
        <x:v>Somar. Neutros = respostas − promotores − detratores.</x:v>
      </x:c>
    </x:row>
    <x:row r="25" ht="58" customHeight="1">
      <x:c r="A25" s="30" t="str">
        <x:v>Pessoas</x:v>
      </x:c>
      <x:c r="B25" s="30" t="str">
        <x:v>id</x:v>
      </x:c>
      <x:c r="C25" s="30" t="str">
        <x:v>texto</x:v>
      </x:c>
      <x:c r="D25" s="30" t="str">
        <x:v>Identificador estável do registro de origem.</x:v>
      </x:c>
      <x:c r="E25" s="30" t="str">
        <x:v>Não somar. Cite o ID para rastrear a evidência.</x:v>
      </x:c>
    </x:row>
    <x:row r="26" ht="58" customHeight="1">
      <x:c r="A26" s="30" t="str">
        <x:v>Pessoas</x:v>
      </x:c>
      <x:c r="B26" s="30" t="str">
        <x:v>mes</x:v>
      </x:c>
      <x:c r="C26" s="30" t="str">
        <x:v>mês</x:v>
      </x:c>
      <x:c r="D26" s="30" t="str">
        <x:v>Competência mensal. Não é data de recebimento.</x:v>
      </x:c>
      <x:c r="E26" s="30" t="str">
        <x:v>Chave para cruzar bases após consolidar vendas.</x:v>
      </x:c>
    </x:row>
    <x:row r="27" ht="58" customHeight="1">
      <x:c r="A27" s="30" t="str">
        <x:v>Pessoas</x:v>
      </x:c>
      <x:c r="B27" s="30" t="str">
        <x:v>headcount_medio</x:v>
      </x:c>
      <x:c r="C27" s="30" t="str">
        <x:v>pessoas</x:v>
      </x:c>
      <x:c r="D27" s="30" t="str">
        <x:v>Quantidade média de pessoas no mês.</x:v>
      </x:c>
      <x:c r="E27" s="30" t="str">
        <x:v>Média para recortes de vários meses; não somar como quadro único.</x:v>
      </x:c>
    </x:row>
    <x:row r="28" ht="58" customHeight="1">
      <x:c r="A28" s="30" t="str">
        <x:v>Pessoas</x:v>
      </x:c>
      <x:c r="B28" s="30" t="str">
        <x:v>admissoes</x:v>
      </x:c>
      <x:c r="C28" s="30" t="str">
        <x:v>movimentações</x:v>
      </x:c>
      <x:c r="D28" s="30" t="str">
        <x:v>Admissões no mês.</x:v>
      </x:c>
      <x:c r="E28" s="30" t="str">
        <x:v>Somar. Headcount médio não é saldo final para reconciliar movimentos.</x:v>
      </x:c>
    </x:row>
    <x:row r="29" ht="58" customHeight="1">
      <x:c r="A29" s="30" t="str">
        <x:v>Pessoas</x:v>
      </x:c>
      <x:c r="B29" s="30" t="str">
        <x:v>desligamentos</x:v>
      </x:c>
      <x:c r="C29" s="30" t="str">
        <x:v>movimentações</x:v>
      </x:c>
      <x:c r="D29" s="30" t="str">
        <x:v>Desligamentos no mês.</x:v>
      </x:c>
      <x:c r="E29" s="30" t="str">
        <x:v>Somar. Taxa mensal = desligamentos / headcount_medio.</x:v>
      </x:c>
    </x:row>
    <x:row r="30" ht="58" customHeight="1">
      <x:c r="A30" s="30" t="str">
        <x:v>Pessoas</x:v>
      </x:c>
      <x:c r="B30" s="30" t="str">
        <x:v>horas_previstas</x:v>
      </x:c>
      <x:c r="C30" s="30" t="str">
        <x:v>horas</x:v>
      </x:c>
      <x:c r="D30" s="30" t="str">
        <x:v>Horas previstas no mês.</x:v>
      </x:c>
      <x:c r="E30" s="30" t="str">
        <x:v>Somar. Denominador de absenteísmo e horas extras.</x:v>
      </x:c>
    </x:row>
    <x:row r="31" ht="58" customHeight="1">
      <x:c r="A31" s="30" t="str">
        <x:v>Pessoas</x:v>
      </x:c>
      <x:c r="B31" s="30" t="str">
        <x:v>horas_ausencia</x:v>
      </x:c>
      <x:c r="C31" s="30" t="str">
        <x:v>horas</x:v>
      </x:c>
      <x:c r="D31" s="30" t="str">
        <x:v>Horas de ausência agregadas.</x:v>
      </x:c>
      <x:c r="E31" s="30" t="str">
        <x:v>Somar. Não atribuir saúde ou conduta individual.</x:v>
      </x:c>
    </x:row>
    <x:row r="32" ht="58" customHeight="1">
      <x:c r="A32" s="30" t="str">
        <x:v>Pessoas</x:v>
      </x:c>
      <x:c r="B32" s="30" t="str">
        <x:v>horas_extras</x:v>
      </x:c>
      <x:c r="C32" s="30" t="str">
        <x:v>horas</x:v>
      </x:c>
      <x:c r="D32" s="30" t="str">
        <x:v>Horas extras agregadas.</x:v>
      </x:c>
      <x:c r="E32" s="30" t="str">
        <x:v>Somar. Não é custo monetário de horas extras.</x:v>
      </x:c>
    </x:row>
    <x:row r="33" ht="58" customHeight="1">
      <x:c r="A33" s="30" t="str">
        <x:v>Pessoas</x:v>
      </x:c>
      <x:c r="B33" s="30" t="str">
        <x:v>folha_total</x:v>
      </x:c>
      <x:c r="C33" s="30" t="str">
        <x:v>R$</x:v>
      </x:c>
      <x:c r="D33" s="30" t="str">
        <x:v>Folha consolidada da empresa por mês.</x:v>
      </x:c>
      <x:c r="E33" s="30" t="str">
        <x:v>Somar meses uma vez. Não replicar por canal ou região.</x:v>
      </x:c>
    </x:row>
    <x:row r="34" ht="58" customHeight="1">
      <x:c r="A34" s="30" t="str">
        <x:v>Estoque</x:v>
      </x:c>
      <x:c r="B34" s="30" t="str">
        <x:v>id</x:v>
      </x:c>
      <x:c r="C34" s="30" t="str">
        <x:v>texto</x:v>
      </x:c>
      <x:c r="D34" s="30" t="str">
        <x:v>Identificador estável do registro de origem.</x:v>
      </x:c>
      <x:c r="E34" s="30" t="str">
        <x:v>Não somar. Cite o ID para rastrear a evidência.</x:v>
      </x:c>
    </x:row>
    <x:row r="35" ht="58" customHeight="1">
      <x:c r="A35" s="30" t="str">
        <x:v>Estoque</x:v>
      </x:c>
      <x:c r="B35" s="30" t="str">
        <x:v>mes</x:v>
      </x:c>
      <x:c r="C35" s="30" t="str">
        <x:v>mês</x:v>
      </x:c>
      <x:c r="D35" s="30" t="str">
        <x:v>Competência mensal. Não é data de recebimento.</x:v>
      </x:c>
      <x:c r="E35" s="30" t="str">
        <x:v>Chave para cruzar bases após consolidar vendas.</x:v>
      </x:c>
    </x:row>
    <x:row r="36" ht="58" customHeight="1">
      <x:c r="A36" s="30" t="str">
        <x:v>Estoque</x:v>
      </x:c>
      <x:c r="B36" s="30" t="str">
        <x:v>cmv_mes</x:v>
      </x:c>
      <x:c r="C36" s="30" t="str">
        <x:v>R$</x:v>
      </x:c>
      <x:c r="D36" s="30" t="str">
        <x:v>CMV consolidado da empresa no mês.</x:v>
      </x:c>
      <x:c r="E36" s="30" t="str">
        <x:v>Somar. Igual ao total mensal de cmv em Vendas.</x:v>
      </x:c>
    </x:row>
    <x:row r="37" ht="58" customHeight="1">
      <x:c r="A37" s="30" t="str">
        <x:v>Estoque</x:v>
      </x:c>
      <x:c r="B37" s="30" t="str">
        <x:v>estoque_medio_custo</x:v>
      </x:c>
      <x:c r="C37" s="30" t="str">
        <x:v>R$</x:v>
      </x:c>
      <x:c r="D37" s="30" t="str">
        <x:v>Estoque médio do mês avaliado ao custo.</x:v>
      </x:c>
      <x:c r="E37" s="30" t="str">
        <x:v>Saldo médio: não somar ao longo do tempo como fluxo.</x:v>
      </x:c>
    </x:row>
    <x:row r="38" ht="58" customHeight="1">
      <x:c r="A38" s="30" t="str">
        <x:v>Estoque</x:v>
      </x:c>
      <x:c r="B38" s="30" t="str">
        <x:v>skus_catalogo</x:v>
      </x:c>
      <x:c r="C38" s="30" t="str">
        <x:v>SKUs</x:v>
      </x:c>
      <x:c r="D38" s="30" t="str">
        <x:v>Tamanho do catálogo no mês.</x:v>
      </x:c>
      <x:c r="E38" s="30" t="str">
        <x:v>1.280 no cenário. Não somar meses como produtos distintos.</x:v>
      </x:c>
    </x:row>
    <x:row r="39" ht="58" customHeight="1">
      <x:c r="A39" s="30" t="str">
        <x:v>Estoque</x:v>
      </x:c>
      <x:c r="B39" s="30" t="str">
        <x:v>skus_sem_estoque</x:v>
      </x:c>
      <x:c r="C39" s="30" t="str">
        <x:v>SKUs</x:v>
      </x:c>
      <x:c r="D39" s="30" t="str">
        <x:v>Quantidade de SKUs sem estoque no mês.</x:v>
      </x:c>
      <x:c r="E39" s="30" t="str">
        <x:v>Taxa mensal = skus_sem_estoque / skus_catalogo.</x:v>
      </x:c>
    </x:row>
    <x:row r="40" ht="58" customHeight="1">
      <x:c r="A40" s="30" t="str">
        <x:v>Vendas</x:v>
      </x:c>
      <x:c r="B40" s="30" t="str">
        <x:v>ano / trimestre</x:v>
      </x:c>
      <x:c r="C40" s="30" t="str">
        <x:v>inteiro</x:v>
      </x:c>
      <x:c r="D40" s="30" t="str">
        <x:v>Ano e trimestre extraídos de mes.</x:v>
      </x:c>
      <x:c r="E40" s="30" t="str">
        <x:v>Dimensões para agrupar.</x:v>
      </x:c>
    </x:row>
    <x:row r="41" ht="58" customHeight="1">
      <x:c r="A41" s="30" t="str">
        <x:v>Vendas</x:v>
      </x:c>
      <x:c r="B41" s="30" t="str">
        <x:v>margem_bruta_valor / pct</x:v>
      </x:c>
      <x:c r="C41" s="30" t="str">
        <x:v>R$ / %</x:v>
      </x:c>
      <x:c r="D41" s="30" t="str">
        <x:v>receita_liquida − cmv; valor / receita_liquida.</x:v>
      </x:c>
      <x:c r="E41" s="30" t="str">
        <x:v>Recalcular percentual pelos totais.</x:v>
      </x:c>
    </x:row>
    <x:row r="42" ht="58" customHeight="1">
      <x:c r="A42" s="30" t="str">
        <x:v>Vendas</x:v>
      </x:c>
      <x:c r="B42" s="30" t="str">
        <x:v>contribuicao_valor / pct</x:v>
      </x:c>
      <x:c r="C42" s="30" t="str">
        <x:v>R$ / %</x:v>
      </x:c>
      <x:c r="D42" s="30" t="str">
        <x:v>receita_liquida − cmv − frete_custo − taxas_pagamento − marketing_investimento.</x:v>
      </x:c>
      <x:c r="E42" s="30" t="str">
        <x:v>Percentual = contribuição / receita líquida. Não é lucro líquido.</x:v>
      </x:c>
    </x:row>
    <x:row r="43" ht="58" customHeight="1">
      <x:c r="A43" s="30" t="str">
        <x:v>Vendas</x:v>
      </x:c>
      <x:c r="B43" s="30" t="str">
        <x:v>ticket_bruto</x:v>
      </x:c>
      <x:c r="C43" s="30" t="str">
        <x:v>R$/pedido</x:v>
      </x:c>
      <x:c r="D43" s="30" t="str">
        <x:v>receita_bruta / pedidos.</x:v>
      </x:c>
      <x:c r="E43" s="30" t="str">
        <x:v>Receita total / pedidos totais do recorte.</x:v>
      </x:c>
    </x:row>
    <x:row r="44" ht="58" customHeight="1">
      <x:c r="A44" s="30" t="str">
        <x:v>Vendas</x:v>
      </x:c>
      <x:c r="B44" s="30" t="str">
        <x:v>cac_gerencial</x:v>
      </x:c>
      <x:c r="C44" s="30" t="str">
        <x:v>R$/cliente atribuído</x:v>
      </x:c>
      <x:c r="D44" s="30" t="str">
        <x:v>marketing_investimento / novos_clientes.</x:v>
      </x:c>
      <x:c r="E44" s="30" t="str">
        <x:v>Totais do mesmo recorte. Não é ROAS nem LTV.</x:v>
      </x:c>
    </x:row>
    <x:row r="45" ht="58" customHeight="1">
      <x:c r="A45" s="30" t="str">
        <x:v>Vendas</x:v>
      </x:c>
      <x:c r="B45" s="30" t="str">
        <x:v>taxa_atraso / taxa_devolucao</x:v>
      </x:c>
      <x:c r="C45" s="30" t="str">
        <x:v>%</x:v>
      </x:c>
      <x:c r="D45" s="30" t="str">
        <x:v>pedidos_atrasados / pedidos; devolucoes_pedidos / pedidos.</x:v>
      </x:c>
      <x:c r="E45" s="30" t="str">
        <x:v>Recalcular pelos totais.</x:v>
      </x:c>
    </x:row>
    <x:row r="46" ht="58" customHeight="1">
      <x:c r="A46" s="30" t="str">
        <x:v>Vendas</x:v>
      </x:c>
      <x:c r="B46" s="30" t="str">
        <x:v>nps</x:v>
      </x:c>
      <x:c r="C46" s="30" t="str">
        <x:v>pontos de −100 a 100</x:v>
      </x:c>
      <x:c r="D46" s="30" t="str">
        <x:v>100 × (promotores_nps − detratores_nps) / respostas_nps.</x:v>
      </x:c>
      <x:c r="E46" s="30" t="str">
        <x:v>Não formatar como percentual; não usar média de NPS.</x:v>
      </x:c>
    </x:row>
    <x:row r="47" ht="58" customHeight="1">
      <x:c r="A47" s="30" t="str">
        <x:v>Vendas</x:v>
      </x:c>
      <x:c r="B47" s="30" t="str">
        <x:v>taxa_desconto</x:v>
      </x:c>
      <x:c r="C47" s="30" t="str">
        <x:v>%</x:v>
      </x:c>
      <x:c r="D47" s="30" t="str">
        <x:v>descontos / receita_bruta.</x:v>
      </x:c>
      <x:c r="E47" s="30" t="str">
        <x:v>Recalcular pelos totais.</x:v>
      </x:c>
    </x:row>
    <x:row r="48" ht="58" customHeight="1">
      <x:c r="A48" s="30" t="str">
        <x:v>Vendas</x:v>
      </x:c>
      <x:c r="B48" s="30" t="str">
        <x:v>conferencia_receita</x:v>
      </x:c>
      <x:c r="C48" s="30" t="str">
        <x:v>R$</x:v>
      </x:c>
      <x:c r="D48" s="30" t="str">
        <x:v>receita_liquida − (receita_bruta − descontos − devolucoes_valor).</x:v>
      </x:c>
      <x:c r="E48" s="30" t="str">
        <x:v>Zero indica reconciliação monetária por linha.</x:v>
      </x:c>
    </x:row>
    <x:row r="49" ht="58" customHeight="1">
      <x:c r="A49" s="30" t="str">
        <x:v>Pessoas</x:v>
      </x:c>
      <x:c r="B49" s="30" t="str">
        <x:v>turnover_desligamentos</x:v>
      </x:c>
      <x:c r="C49" s="30" t="str">
        <x:v>% mensal</x:v>
      </x:c>
      <x:c r="D49" s="30" t="str">
        <x:v>desligamentos / headcount_medio.</x:v>
      </x:c>
      <x:c r="E49" s="30" t="str">
        <x:v>Para período anual, declarar a convenção; não somar taxas mensais.</x:v>
      </x:c>
    </x:row>
    <x:row r="50" ht="58" customHeight="1">
      <x:c r="A50" s="30" t="str">
        <x:v>Pessoas</x:v>
      </x:c>
      <x:c r="B50" s="30" t="str">
        <x:v>absenteismo / horas_extras_pct</x:v>
      </x:c>
      <x:c r="C50" s="30" t="str">
        <x:v>%</x:v>
      </x:c>
      <x:c r="D50" s="30" t="str">
        <x:v>horas_ausencia / horas_previstas; horas_extras / horas_previstas.</x:v>
      </x:c>
      <x:c r="E50" s="30" t="str">
        <x:v>Recalcular com horas totais.</x:v>
      </x:c>
    </x:row>
    <x:row r="51" ht="58" customHeight="1">
      <x:c r="A51" s="30" t="str">
        <x:v>Pessoas</x:v>
      </x:c>
      <x:c r="B51" s="30" t="str">
        <x:v>saldo_movimentacoes</x:v>
      </x:c>
      <x:c r="C51" s="30" t="str">
        <x:v>pessoas</x:v>
      </x:c>
      <x:c r="D51" s="30" t="str">
        <x:v>admissoes − desligamentos.</x:v>
      </x:c>
      <x:c r="E51" s="30" t="str">
        <x:v>Não reconcilia sozinho headcount médio ou saldo final.</x:v>
      </x:c>
    </x:row>
    <x:row r="52" ht="58" customHeight="1">
      <x:c r="A52" s="30" t="str">
        <x:v>Estoque</x:v>
      </x:c>
      <x:c r="B52" s="30" t="str">
        <x:v>giro_mensal</x:v>
      </x:c>
      <x:c r="C52" s="30" t="str">
        <x:v>vezes/mês</x:v>
      </x:c>
      <x:c r="D52" s="30" t="str">
        <x:v>cmv_mes / estoque_medio_custo.</x:v>
      </x:c>
      <x:c r="E52" s="30" t="str">
        <x:v>Não anualizar sem premissa.</x:v>
      </x:c>
    </x:row>
    <x:row r="53" ht="58" customHeight="1">
      <x:c r="A53" s="30" t="str">
        <x:v>Estoque</x:v>
      </x:c>
      <x:c r="B53" s="30" t="str">
        <x:v>ruptura_skus</x:v>
      </x:c>
      <x:c r="C53" s="30" t="str">
        <x:v>% mensal</x:v>
      </x:c>
      <x:c r="D53" s="30" t="str">
        <x:v>skus_sem_estoque / skus_catalogo.</x:v>
      </x:c>
      <x:c r="E53" s="30" t="str">
        <x:v>Não representa perda de vendas ou disponibilidade por pedido.</x:v>
      </x:c>
    </x:row>
    <x:row r="54" ht="58" customHeight="1">
      <x:c r="A54" s="30" t="str">
        <x:v>Estoque</x:v>
      </x:c>
      <x:c r="B54" s="30" t="str">
        <x:v>cmv_vendas / diferenca_cmv</x:v>
      </x:c>
      <x:c r="C54" s="30" t="str">
        <x:v>R$</x:v>
      </x:c>
      <x:c r="D54" s="30" t="str">
        <x:v>Somatório mensal de cmv em Vendas; cmv_mes − cmv_vendas.</x:v>
      </x:c>
      <x:c r="E54" s="30" t="str">
        <x:v>Diferença deve ser zero.</x:v>
      </x:c>
    </x:row>
    <x:row r="55" ht="58" customHeight="1">
      <x:c r="A55" s="30" t="str">
        <x:v>Todas</x:v>
      </x:c>
      <x:c r="B55" s="30" t="str">
        <x:v>Denominador zero</x:v>
      </x:c>
      <x:c r="C55" s="30" t="str">
        <x:v>sem resultado</x:v>
      </x:c>
      <x:c r="D55" s="30" t="str">
        <x:v>Fórmulas de divisão retornam célula vazia se o denominador for zero.</x:v>
      </x:c>
      <x:c r="E55" s="30" t="str">
        <x:v>Vazio significa indicador indisponível, não resultado zero.</x:v>
      </x:c>
    </x:row>
    <x:row r="56" ht="58" customHeight="1">
      <x:c r="A56" s="30" t="str">
        <x:v>Mensal; Canais; Regioes</x:v>
      </x:c>
      <x:c r="B56" s="30" t="str">
        <x:v>Agregações</x:v>
      </x:c>
      <x:c r="C56" s="30" t="str">
        <x:v>mesmas unidades</x:v>
      </x:c>
      <x:c r="D56" s="30" t="str">
        <x:v>Totais agrupados a partir de Vendas. Taxas = numerador total / denominador total.</x:v>
      </x:c>
      <x:c r="E56" s="30" t="str">
        <x:v>São visões derivadas. Não somar com os dados de origem.</x:v>
      </x:c>
    </x:row>
    <x:row r="57" ht="58" customHeight="1">
      <x:c r="A57" s="30" t="str">
        <x:v>Cenarios</x:v>
      </x:c>
      <x:c r="B57" s="30" t="str">
        <x:v>Premissas e alocações</x:v>
      </x:c>
      <x:c r="C57" s="30" t="str">
        <x:v>R$ / variação %</x:v>
      </x:c>
      <x:c r="D57" s="30" t="str">
        <x:v>Valores em amarelo são exemplos hipotéticos editáveis.</x:v>
      </x:c>
      <x:c r="E57" s="30" t="str">
        <x:v>Não são novos registros históricos ou previsões validadas.</x:v>
      </x:c>
    </x:row>
  </x:sheetData>
  <x:pageMargins left="0.7" right="0.7" top="0.75" bottom="0.75" header="0.3" footer="0.3"/>
  <x:tableParts count="1">
    <x:tablePart xmlns:r="http://schemas.openxmlformats.org/officeDocument/2006/relationships" r:id="R916e50f511b04a26"/>
  </x:tableParts>
</x:worksheet>
</file>

<file path=xl/worksheets/sheet12.xml><?xml version="1.0" encoding="utf-8"?>
<x:worksheet xmlns:x="http://schemas.openxmlformats.org/spreadsheetml/2006/main"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50" hidden="0" customWidth="1"/>
    <x:col min="3" max="3" width="32" hidden="0" customWidth="1"/>
    <x:col min="4" max="4" width="112" hidden="0" customWidth="1"/>
  </x:cols>
  <x:sheetData>
    <x:row r="1" ht="32" customHeight="1">
      <x:c r="A1" s="4" t="str">
        <x:v>Fontes do caso</x:v>
      </x:c>
      <x:c r="B1" s="1"/>
      <x:c r="C1" s="1"/>
      <x:c r="D1" s="1"/>
    </x:row>
    <x:row r="2" ht="22" customHeight="1">
      <x:c r="A2" s="5" t="str">
        <x:v>Documentos e bases sintéticos fornecidos no workshop · nenhum dado de uma empresa real</x:v>
      </x:c>
      <x:c r="B2" s="1"/>
      <x:c r="C2" s="1"/>
      <x:c r="D2" s="1"/>
    </x:row>
    <x:row r="3" ht="10" customHeight="1">
      <x:c r="A3" s="3"/>
      <x:c r="B3" s="3"/>
      <x:c r="C3" s="3"/>
      <x:c r="D3" s="3"/>
    </x:row>
    <x:row r="4" ht="10" customHeight="1">
      <x:c r="A4" s="1"/>
      <x:c r="B4" s="1"/>
      <x:c r="C4" s="1"/>
      <x:c r="D4" s="1"/>
    </x:row>
    <x:row r="5" ht="46" customHeight="1">
      <x:c r="A5" s="11" t="str">
        <x:v>ID ou arquivo</x:v>
      </x:c>
      <x:c r="B5" s="12" t="str">
        <x:v>Conteúdo</x:v>
      </x:c>
      <x:c r="C5" s="12" t="str">
        <x:v>Fonte</x:v>
      </x:c>
      <x:c r="D5" s="13" t="str">
        <x:v>Descrição</x:v>
      </x:c>
    </x:row>
    <x:row r="6" ht="82" customHeight="1">
      <x:c r="A6" s="30" t="str">
        <x:v>POL-01</x:v>
      </x:c>
      <x:c r="B6" s="30" t="str">
        <x:v>Política de análise · versão 1 · 15/12/2025</x:v>
      </x:c>
      <x:c r="C6" s="30" t="str">
        <x:v>politicas-e-eventos.md</x:v>
      </x:c>
      <x:c r="D6" s="30" t="str">
        <x:v>Toda recomendação deve citar arquivo, IDs de linhas ou documento, período, fórmula e limitações. Correlação não prova causa. Metas sugeridas são propostas, não resultados observados.</x:v>
      </x:c>
    </x:row>
    <x:row r="7" ht="82" customHeight="1">
      <x:c r="A7" s="30" t="str">
        <x:v>LOG-01</x:v>
      </x:c>
      <x:c r="B7" s="30" t="str">
        <x:v>Nota operacional fictícia · 01/09/2025</x:v>
      </x:c>
      <x:c r="C7" s="30" t="str">
        <x:v>politicas-e-eventos.md</x:v>
      </x:c>
      <x:c r="D7" s="30" t="str">
        <x:v>O cenário introduz uma pressão adicional de atrasos no E-commerce do Sudeste a partir de setembro de 2025. A base não identifica transportadoras nem causas individuais. A nota contextualiza o exercício; não comprova causalidade.</x:v>
      </x:c>
    </x:row>
    <x:row r="8" ht="82" customHeight="1">
      <x:c r="A8" s="30" t="str">
        <x:v>CON-01</x:v>
      </x:c>
      <x:c r="B8" s="30" t="str">
        <x:v>Mandato do conselho simulado · 15/12/2025</x:v>
      </x:c>
      <x:c r="C8" s="30" t="str">
        <x:v>politicas-e-eventos.md</x:v>
      </x:c>
      <x:c r="D8" s="30" t="str">
        <x:v>Avaliar alocação hipotética de R$ 1,2 milhão em logística, aquisição e expansão B2B para Q1/2026. É permitido manter reserva. A soma das alocações e da reserva deve ser exatamente o orçamento. Não há fluxo de caixa que assegure disponibilidade real desse valor.</x:v>
      </x:c>
    </x:row>
    <x:row r="9" ht="82" customHeight="1">
      <x:c r="A9" s="30" t="str">
        <x:v>PES-01</x:v>
      </x:c>
      <x:c r="B9" s="30" t="str">
        <x:v>Nota de pessoas · 15/12/2025</x:v>
      </x:c>
      <x:c r="C9" s="30" t="str">
        <x:v>politicas-e-eventos.md</x:v>
      </x:c>
      <x:c r="D9" s="30" t="str">
        <x:v>Só há métricas agregadas mensais. Não inferir desempenho, saúde ou conduta de indivíduos. Investigar hipóteses de capacidade sem atribuir culpa a empregados.</x:v>
      </x:c>
    </x:row>
    <x:row r="10" ht="82" customHeight="1">
      <x:c r="A10" s="30" t="str">
        <x:v>NC-VENDAS</x:v>
      </x:c>
      <x:c r="B10" s="30" t="str">
        <x:v>432 linhas, M-0001 a M-0432</x:v>
      </x:c>
      <x:c r="C10" s="30" t="str">
        <x:v>nucleo-casa-mensal.csv</x:v>
      </x:c>
      <x:c r="D10" s="30" t="str">
        <x:v>Vendas por mês, canal e região. IDs originais preservados na aba Vendas.</x:v>
      </x:c>
    </x:row>
    <x:row r="11" ht="82" customHeight="1">
      <x:c r="A11" s="30" t="str">
        <x:v>NC-PESSOAS</x:v>
      </x:c>
      <x:c r="B11" s="30" t="str">
        <x:v>36 linhas, P-001 a P-036</x:v>
      </x:c>
      <x:c r="C11" s="30" t="str">
        <x:v>pessoas-mensal.csv</x:v>
      </x:c>
      <x:c r="D11" s="30" t="str">
        <x:v>Pessoas agregadas por competência. Sem dados individuais.</x:v>
      </x:c>
    </x:row>
    <x:row r="12" ht="82" customHeight="1">
      <x:c r="A12" s="30" t="str">
        <x:v>NC-ESTOQUE</x:v>
      </x:c>
      <x:c r="B12" s="30" t="str">
        <x:v>36 linhas, E-001 a E-036</x:v>
      </x:c>
      <x:c r="C12" s="30" t="str">
        <x:v>estoque-mensal.csv</x:v>
      </x:c>
      <x:c r="D12" s="30" t="str">
        <x:v>Estoque mensal ao custo e CMV reconciliado com Vendas.</x:v>
      </x:c>
    </x:row>
    <x:row r="13" ht="82" customHeight="1">
      <x:c r="A13" s="30" t="str">
        <x:v>NC-DICIONARIO</x:v>
      </x:c>
      <x:c r="B13" s="30" t="str">
        <x:v>Universo, fórmulas e limites</x:v>
      </x:c>
      <x:c r="C13" s="30" t="str">
        <x:v>LEIA-ME.md</x:v>
      </x:c>
      <x:c r="D13" s="30" t="str">
        <x:v>Fonte das definições. O orçamento de R$ 1,2 milhão é hipotético.</x:v>
      </x:c>
    </x:row>
    <x:row r="14" ht="82" customHeight="1">
      <x:c r="A14" s="30" t="str">
        <x:v>NC-CONTROLE</x:v>
      </x:c>
      <x:c r="B14" s="30" t="str">
        <x:v>Totais e versão</x:v>
      </x:c>
      <x:c r="C14" s="30" t="str">
        <x:v>resumo.json</x:v>
      </x:c>
      <x:c r="D14" s="30" t="str">
        <x:v>Receita bruta R$ 48.600.000; 41.820 pedidos; 432 registros; NC-2026.1; seed 602026.</x:v>
      </x:c>
    </x:row>
    <x:row r="15" ht="82" customHeight="1">
      <x:c r="A15" s="30" t="str">
        <x:v>NC-AULA</x:v>
      </x:c>
      <x:c r="B15" s="30" t="str">
        <x:v>Slide 03, sete atividades e 33 prompts</x:v>
      </x:c>
      <x:c r="C15" s="30" t="str">
        <x:v>content.json</x:v>
      </x:c>
      <x:c r="D15" s="30" t="str">
        <x:v>Origem do contexto e dos exercícios da aula. D01 a D12 são desafios complementares desta planilha.</x:v>
      </x:c>
    </x:row>
    <x:row r="16" ht="82" customHeight="1">
      <x:c r="A16" s="30" t="str">
        <x:v>NC-CORTE</x:v>
      </x:c>
      <x:c r="B16" s="30" t="str">
        <x:v>Corte temporal da simulação</x:v>
      </x:c>
      <x:c r="C16" s="30" t="str">
        <x:v>Nota didática desta planilha</x:v>
      </x:c>
      <x:c r="D16" s="30" t="str">
        <x:v>Dezembro/2025 completo é material retrospectivo. Não trate esse mês como encerrado em 15/12/2025. Cenarios usa janeiro a novembro/2025.</x:v>
      </x:c>
    </x:row>
  </x:sheetData>
  <x:pageMargins left="0.7" right="0.7" top="0.75" bottom="0.75" header="0.3" footer="0.3"/>
  <x:tableParts count="1">
    <x:tablePart xmlns:r="http://schemas.openxmlformats.org/officeDocument/2006/relationships" r:id="Ra7f301660e87494e"/>
  </x:tableParts>
</x:worksheet>
</file>